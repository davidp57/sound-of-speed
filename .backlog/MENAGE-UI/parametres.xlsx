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dpierron\speed\.backlog\MENAGE-UI\"/>
    </mc:Choice>
  </mc:AlternateContent>
  <xr:revisionPtr revIDLastSave="0" documentId="13_ncr:1_{CA287955-6EBF-40BB-81D0-B4FD99A83F1E}" xr6:coauthVersionLast="47" xr6:coauthVersionMax="47" xr10:uidLastSave="{00000000-0000-0000-0000-000000000000}"/>
  <bookViews>
    <workbookView xWindow="-105" yWindow="0" windowWidth="36795" windowHeight="20910" activeTab="1" xr2:uid="{00000000-000D-0000-FFFF-FFFF00000000}"/>
  </bookViews>
  <sheets>
    <sheet name="Mode d'emploi" sheetId="1" r:id="rId1"/>
    <sheet name="Réglages" sheetId="2" r:id="rId2"/>
    <sheet name="Compte" sheetId="3" r:id="rId3"/>
  </sheets>
  <definedNames>
    <definedName name="_xlnm._FilterDatabase" localSheetId="1" hidden="1">Réglages!$A$1:$G$159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12" i="3" l="1"/>
  <c r="F16" i="3"/>
  <c r="F9" i="3"/>
  <c r="F15" i="3"/>
  <c r="F11" i="3"/>
  <c r="F5" i="3"/>
  <c r="F13" i="3"/>
  <c r="F4" i="3"/>
  <c r="F6" i="3"/>
  <c r="F10" i="3"/>
  <c r="F14" i="3"/>
  <c r="C17" i="3"/>
  <c r="F8" i="3"/>
  <c r="F7" i="3"/>
  <c r="D17" i="3"/>
  <c r="E17" i="3"/>
  <c r="B17" i="3"/>
  <c r="F17" i="3" l="1"/>
</calcChain>
</file>

<file path=xl/sharedStrings.xml><?xml version="1.0" encoding="utf-8"?>
<sst xmlns="http://schemas.openxmlformats.org/spreadsheetml/2006/main" count="1040" uniqueCount="409">
  <si>
    <t>Les réglages de Speed — où doit vivre chacun ?</t>
  </si>
  <si>
    <t>Relevé du 10 septembre 2026, pour la refonte : deux applications, l'atelier sur PC et la voiture.</t>
  </si>
  <si>
    <t>La question posée à chaque ligne est celle-ci et pas une autre : ce réglage doit-il rester accessible au volant ?</t>
  </si>
  <si>
    <t>Ce que tu remplis</t>
  </si>
  <si>
    <t>Onglet « Réglages », colonne F « Où » — les cellules jaunes, et elles seules.</t>
  </si>
  <si>
    <t>Trois valeurs dans la liste déroulante : Voiture, Atelier, À voir.</t>
  </si>
  <si>
    <t>La colonne G « Note » est libre : une précision, une condition, un « seulement si ».</t>
  </si>
  <si>
    <t>Exemple de ligne remplie</t>
  </si>
  <si>
    <t>Catégorie « Préférences d'appareil » · Réglage « Volume » · Où : Voiture · Note : « indispensable, ça dépend de l'autoradio »</t>
  </si>
  <si>
    <t>Ce qui est déjà pré-rempli</t>
  </si>
  <si>
    <t>Les huit réglages qui sont déjà sur l'écran de conduite aujourd'hui sont marqués « Voiture ».</t>
  </si>
  <si>
    <t>Change-les si tu n'es pas d'accord : rien n'est acquis.</t>
  </si>
  <si>
    <t>Colonnes de lecture</t>
  </si>
  <si>
    <t>« Aujourd'hui » dit où le réglage se trouve dans l'application actuelle.</t>
  </si>
  <si>
    <t>« Portée » dit s'il voyage avec le profil, ou s'il reste sur l'appareil. Un réglage d'appareil</t>
  </si>
  <si>
    <t>ne peut pas venir de l'atelier : le volume dépend de l'autoradio, pas du moteur choisi.</t>
  </si>
  <si>
    <t>L'onglet « Compte » totalise tes choix par catégorie, au fur et à mesure.</t>
  </si>
  <si>
    <t>Catégorie</t>
  </si>
  <si>
    <t>Réglage</t>
  </si>
  <si>
    <t>Ce qu'il fait</t>
  </si>
  <si>
    <t>Aujourd'hui</t>
  </si>
  <si>
    <t>Portée</t>
  </si>
  <si>
    <t>Où</t>
  </si>
  <si>
    <t>Note</t>
  </si>
  <si>
    <t>Moteur</t>
  </si>
  <si>
    <t>Cylindres enregistrés</t>
  </si>
  <si>
    <t>Combien de cylindres avait le moteur enregistré ; ne change pas le son, sert à l'analyse d'un fichier</t>
  </si>
  <si>
    <t>Config › Moteur</t>
  </si>
  <si>
    <t>Profil</t>
  </si>
  <si>
    <t>Ralenti</t>
  </si>
  <si>
    <t>Régime à l'arrêt, débrayé — le son du feu rouge</t>
  </si>
  <si>
    <t>Régime de décollage</t>
  </si>
  <si>
    <t>Régime que l'embrayage impose dès que la voiture avance</t>
  </si>
  <si>
    <t>Seuil de coupure</t>
  </si>
  <si>
    <t>Régime auquel l'allumage commence à être coupé</t>
  </si>
  <si>
    <t>Rupteur</t>
  </si>
  <si>
    <t>Plafond absolu du régime</t>
  </si>
  <si>
    <t>Durée de coupure</t>
  </si>
  <si>
    <t>Durée d'une coupure au rupteur — c'est ce hachage qui crépite</t>
  </si>
  <si>
    <t>Inertie</t>
  </si>
  <si>
    <t>Poids du volant moteur : lourd, il met du temps à prendre ses tours</t>
  </si>
  <si>
    <t>Montée à vide</t>
  </si>
  <si>
    <t>Rapidité de montée quand les roues n'entraînent pas le moteur</t>
  </si>
  <si>
    <t>Frein moteur</t>
  </si>
  <si>
    <t>Rapidité avec laquelle le régime retombe pied levé</t>
  </si>
  <si>
    <t>Tremblement au ralenti</t>
  </si>
  <si>
    <t>Amplitude de l'oscillation d'un thermique ; ne va que dans le son</t>
  </si>
  <si>
    <t>Vitesse du tremblement</t>
  </si>
  <si>
    <t>Fréquence de ce tremblement</t>
  </si>
  <si>
    <t>Transmission</t>
  </si>
  <si>
    <t>Démultiplications</t>
  </si>
  <si>
    <t>La liste des rapports, du plus court au plus long</t>
  </si>
  <si>
    <t>Config › Transmission</t>
  </si>
  <si>
    <t>Pont</t>
  </si>
  <si>
    <t>Démultiplication commune : la baisser fait tourner le moteur moins vite partout</t>
  </si>
  <si>
    <t>Rupteur atteint à</t>
  </si>
  <si>
    <t>Vitesse à laquelle le rupteur tombe en dernier rapport ; recalcule le pont</t>
  </si>
  <si>
    <t>Rayon de roue</t>
  </si>
  <si>
    <t>Une roue plus grande fait moins de tours pour la même vitesse</t>
  </si>
  <si>
    <t>Temps de passage</t>
  </si>
  <si>
    <t>Durée de toute la séquence : coupure, chute, coup de gaz, clac, reprise</t>
  </si>
  <si>
    <t>Passage 1→2, 2→3…</t>
  </si>
  <si>
    <t>Régime auquel chaque rapport cède la place, à charge moyenne (5 curseurs)</t>
  </si>
  <si>
    <t>Écart selon la charge</t>
  </si>
  <si>
    <t>De combien le passage recule pied au plancher et avance pied levé</t>
  </si>
  <si>
    <t>Dispersion aléatoire</t>
  </si>
  <si>
    <t>Tirage au sort à chaque passage, pour ne pas sonner comme une machine</t>
  </si>
  <si>
    <t>Première réservée au lancement</t>
  </si>
  <si>
    <t>La première n'est qu'une amorce, on n'y revient plus</t>
  </si>
  <si>
    <t>Passage en seconde à</t>
  </si>
  <si>
    <t>Vitesse au-delà de laquelle la première cède</t>
  </si>
  <si>
    <t>Ne jamais monter sous</t>
  </si>
  <si>
    <t>Plancher appliqué aux régimes de passage</t>
  </si>
  <si>
    <t>Descente sous</t>
  </si>
  <si>
    <t>Fraction du rupteur sous laquelle la boîte rétrograde</t>
  </si>
  <si>
    <t>Croisière au-dessus de</t>
  </si>
  <si>
    <t>Régime sous lequel la boîte refuse de monter à vitesse tenue</t>
  </si>
  <si>
    <t>Monter après</t>
  </si>
  <si>
    <t>Durée de vitesse stable avant de tenter un rapport de plus</t>
  </si>
  <si>
    <t>Descendre en freinant à</t>
  </si>
  <si>
    <t>Décélération à partir de laquelle la boîte descend pour aider</t>
  </si>
  <si>
    <t>Temporisations de montée</t>
  </si>
  <si>
    <t>Délai avant chaque montée, une valeur par rapport, volontairement inégales</t>
  </si>
  <si>
    <t>Nombre de rapports</t>
  </si>
  <si>
    <t>Redistribue les rapports en gardant le premier, le dernier et le pont</t>
  </si>
  <si>
    <t>Config › Réglage (simplifié)</t>
  </si>
  <si>
    <t>Signal de vitesse</t>
  </si>
  <si>
    <t>Raideur du lissage</t>
  </si>
  <si>
    <t>Réactivité du suivi GPS : haut il colle mais saute, bas il est doux mais en retard</t>
  </si>
  <si>
    <t>Config › Signal</t>
  </si>
  <si>
    <t>Fenêtre d'accélération</t>
  </si>
  <si>
    <t>Durée sur laquelle l'accélération est calculée : courte elle tremble, longue elle retarde</t>
  </si>
  <si>
    <t>Config › Signal, proposé par l'Étalonnage</t>
  </si>
  <si>
    <t>Vitesse plausible max</t>
  </si>
  <si>
    <t>Au-delà, la mesure GPS est rejetée comme aberrante</t>
  </si>
  <si>
    <t>Précision GPS acceptée</t>
  </si>
  <si>
    <t>Incertitude au-delà de laquelle une position est écartée (250 m, jamais mesuré)</t>
  </si>
  <si>
    <t>Accélération max retenue</t>
  </si>
  <si>
    <t>Plafond de l'accélération : au-dessus, c'est un saut du GPS</t>
  </si>
  <si>
    <t>Décélération max retenue</t>
  </si>
  <si>
    <t>Le même plafond en freinage</t>
  </si>
  <si>
    <t>Caractère et imperfections</t>
  </si>
  <si>
    <t>Rétrogradage forcé</t>
  </si>
  <si>
    <t>Descendre chercher le couple quand on enfonce, sans attendre le seuil</t>
  </si>
  <si>
    <t>Config › Caractère</t>
  </si>
  <si>
    <t>Déclenché au-delà de</t>
  </si>
  <si>
    <t>Charge à partir de laquelle la demande est jugée franche</t>
  </si>
  <si>
    <t>Régime visé</t>
  </si>
  <si>
    <t>Régime cherché après la descente, en fraction du rupteur</t>
  </si>
  <si>
    <t>Rapports descendus au plus</t>
  </si>
  <si>
    <t>Nombre maximal de rapports descendus d'un coup</t>
  </si>
  <si>
    <t>Pétarade</t>
  </si>
  <si>
    <t>Claquements à l'échappement au lever de pied</t>
  </si>
  <si>
    <t>À partir de</t>
  </si>
  <si>
    <t>Régime en deçà duquel aucun claquement</t>
  </si>
  <si>
    <t>Intensité</t>
  </si>
  <si>
    <t>Volume des claquements</t>
  </si>
  <si>
    <t>Claquements par salve</t>
  </si>
  <si>
    <t>Nombre de détonations à chaque lever de pied</t>
  </si>
  <si>
    <t>À-coup de passage</t>
  </si>
  <si>
    <t>Le petit trou et la reprise pendant le changement</t>
  </si>
  <si>
    <t>Profondeur</t>
  </si>
  <si>
    <t>Combien le niveau baisse pendant la coupure</t>
  </si>
  <si>
    <t>Coupure de couple</t>
  </si>
  <si>
    <t>Combien le moteur passe en roue libre — c'est ce qui change le timbre</t>
  </si>
  <si>
    <t>Plongée du régime</t>
  </si>
  <si>
    <t>De combien le moteur tombe sous le rapport visé pendant la coupure</t>
  </si>
  <si>
    <t>Coup de gaz</t>
  </si>
  <si>
    <t>De combien il remonte au-dessus avant l'engagement — le double débrayage</t>
  </si>
  <si>
    <t>Clac de la boîte</t>
  </si>
  <si>
    <t>Le choc mécanique sec de l'engagement</t>
  </si>
  <si>
    <t>Clac au rétrogradage</t>
  </si>
  <si>
    <t>Part du clac gardée quand la boîte descend</t>
  </si>
  <si>
    <t>Claquement de reprise</t>
  </si>
  <si>
    <t>Détonation au moment où le couple revient</t>
  </si>
  <si>
    <t>Mixage et niveaux</t>
  </si>
  <si>
    <t>Relief de charge</t>
  </si>
  <si>
    <t>Autant en moins pied levé, autant en plus pied au plancher : ce qui fait entendre l'effort</t>
  </si>
  <si>
    <t>Config › Mixage</t>
  </si>
  <si>
    <t>Relief du régime</t>
  </si>
  <si>
    <t>Gain gagné entre le ralenti et le rupteur</t>
  </si>
  <si>
    <t>Niveau au ralenti</t>
  </si>
  <si>
    <t>Écart de niveau au ralenti, faute de couche dédiée dans la banque</t>
  </si>
  <si>
    <t>Gain pied levé</t>
  </si>
  <si>
    <t>Curseur de goût sur toute la famille « pied levé »</t>
  </si>
  <si>
    <t>Contraste de charge</t>
  </si>
  <si>
    <t>À 1 le fondu va d'un extrême à l'autre ; plus bas, les familles se mélangent</t>
  </si>
  <si>
    <t>Désaccord des couches</t>
  </si>
  <si>
    <t>Écart de justesse entre deux couches, qui produit un battement lent</t>
  </si>
  <si>
    <t>Renouvellement de position</t>
  </si>
  <si>
    <t>Intervalle entre deux reprises ailleurs dans l'échantillon, pour casser la boucle</t>
  </si>
  <si>
    <t>Début de bascule</t>
  </si>
  <si>
    <t>Régime où la couche haut régime commence à entrer</t>
  </si>
  <si>
    <t>Fin de bascule</t>
  </si>
  <si>
    <t>Régime au-delà duquel seule la couche haut régime joue</t>
  </si>
  <si>
    <t>Accélération pleine charge</t>
  </si>
  <si>
    <t>Accélération au-delà de laquelle la charge est maximale</t>
  </si>
  <si>
    <t>Config › Mixage, Étalonnage</t>
  </si>
  <si>
    <t>Repère de traînée</t>
  </si>
  <si>
    <t>Vitesse à laquelle tenir l'allure demande la moitié de l'effort</t>
  </si>
  <si>
    <t>Lissage de la charge</t>
  </si>
  <si>
    <t>Temps que met la charge à suivre : court le fondu papillonne, long le son traîne</t>
  </si>
  <si>
    <t>Effacement du ralenti</t>
  </si>
  <si>
    <t>Régime au-dessus duquel la couche de ralenti disparaît</t>
  </si>
  <si>
    <t>Coupe-bas</t>
  </si>
  <si>
    <t>Retire les graves que les petits haut-parleurs ne rendent pas</t>
  </si>
  <si>
    <t>Saturation</t>
  </si>
  <si>
    <t>Épaissit le son ; trop poussé, il devient sale</t>
  </si>
  <si>
    <t>Seuil du limiteur</t>
  </si>
  <si>
    <t>Niveau à partir duquel le son est retenu</t>
  </si>
  <si>
    <t>Couches d'échantillons</t>
  </si>
  <si>
    <t>Banque d'échantillons</t>
  </si>
  <si>
    <t>Choisit un des dossiers de banque que le serveur sait lister</t>
  </si>
  <si>
    <t>Config › Profils</t>
  </si>
  <si>
    <t>Dossier d'échantillons</t>
  </si>
  <si>
    <t>Le même nom tapé à la main, pour une banque non listée</t>
  </si>
  <si>
    <t>Couche active</t>
  </si>
  <si>
    <t>Une couche décochée reste dans le profil mais ne joue pas</t>
  </si>
  <si>
    <t>Config › Couches</t>
  </si>
  <si>
    <t>Clé</t>
  </si>
  <si>
    <t>Identifiant de la couche</t>
  </si>
  <si>
    <t>Fichier</t>
  </si>
  <si>
    <t>Nom du fichier son dans la banque</t>
  </si>
  <si>
    <t>Rôle</t>
  </si>
  <si>
    <t>Famille de mixage : en charge, pied levé, ralenti, rupteur</t>
  </si>
  <si>
    <t>Ancrage</t>
  </si>
  <si>
    <t>Régime auquel l'échantillon a été enregistré ; fixe la justesse</t>
  </si>
  <si>
    <t>Gain</t>
  </si>
  <si>
    <t>Niveau propre à la couche, avant mixage</t>
  </si>
  <si>
    <t>Lecture min</t>
  </si>
  <si>
    <t>Borne basse d'étirement : en dessous, le son devient pâteux</t>
  </si>
  <si>
    <t>Lecture max</t>
  </si>
  <si>
    <t>Borne haute : au-dessus, il devient métallique</t>
  </si>
  <si>
    <t>Origine du son et raccourcis</t>
  </si>
  <si>
    <t>Origine du son</t>
  </si>
  <si>
    <t>Enregistré, généré en direct, ou généré à l'avance</t>
  </si>
  <si>
    <t>Charge d'un coup un moteur entier de la bibliothèque (9 entrées)</t>
  </si>
  <si>
    <t>Conduite + Config</t>
  </si>
  <si>
    <t>Voiture</t>
  </si>
  <si>
    <t>Échappement</t>
  </si>
  <si>
    <t>Combien de résonance passe par-dessus le son direct (Direct / Mesuré / Enveloppé)</t>
  </si>
  <si>
    <t>On écoute</t>
  </si>
  <si>
    <t>Point d'écoute : de l'habitacle, ou de l'extérieur</t>
  </si>
  <si>
    <t>Définition du moteur simulé</t>
  </si>
  <si>
    <t>Cylindres</t>
  </si>
  <si>
    <t>Nombre de cylindres ; rebâtit tout, l'ordre d'allumage en découle</t>
  </si>
  <si>
    <t>Synthèse › Géométrie</t>
  </si>
  <si>
    <t>Alésage</t>
  </si>
  <si>
    <t>Diamètre d'un cylindre</t>
  </si>
  <si>
    <t>Course</t>
  </si>
  <si>
    <t>Distance parcourue par le piston</t>
  </si>
  <si>
    <t>Bielle</t>
  </si>
  <si>
    <t>Longueur de la bielle</t>
  </si>
  <si>
    <t>Chambre</t>
  </si>
  <si>
    <t>Volume de la chambre de combustion, donc la violence de l'explosion</t>
  </si>
  <si>
    <t>Conduit d'admission</t>
  </si>
  <si>
    <t>Volume du conduit par lequel l'air entre</t>
  </si>
  <si>
    <t>Synthèse › Culasse</t>
  </si>
  <si>
    <t>Section d'admission</t>
  </si>
  <si>
    <t>Section de ce conduit</t>
  </si>
  <si>
    <t>Conduit d'échappement</t>
  </si>
  <si>
    <t>Volume du conduit par lequel les gaz sortent</t>
  </si>
  <si>
    <t>Section d'échappement</t>
  </si>
  <si>
    <t>Écartement des lobes</t>
  </si>
  <si>
    <t>Écart entre les bossages d'admission et d'échappement de l'arbre à cames</t>
  </si>
  <si>
    <t>Synthèse › Cames</t>
  </si>
  <si>
    <t>Centre du lobe d'admission</t>
  </si>
  <si>
    <t>Position du sommet de la came d'admission</t>
  </si>
  <si>
    <t>Centre du lobe d'échappement</t>
  </si>
  <si>
    <t>Position du sommet de la came d'échappement</t>
  </si>
  <si>
    <t>Levée d'admission</t>
  </si>
  <si>
    <t>De combien la soupape d'admission s'ouvre</t>
  </si>
  <si>
    <t>Levée d'échappement</t>
  </si>
  <si>
    <t>De combien la soupape d'échappement s'ouvre</t>
  </si>
  <si>
    <t>Durée d'admission</t>
  </si>
  <si>
    <t>Combien de temps la soupape d'admission reste ouverte</t>
  </si>
  <si>
    <t>Durée d'échappement</t>
  </si>
  <si>
    <t>Combien de temps la soupape d'échappement reste ouverte</t>
  </si>
  <si>
    <t>Boîte à air</t>
  </si>
  <si>
    <t>Volume du plénum d'admission</t>
  </si>
  <si>
    <t>Synthèse › Admission</t>
  </si>
  <si>
    <t>Débit d'admission</t>
  </si>
  <si>
    <t>Capacité de passage d'air à l'admission</t>
  </si>
  <si>
    <t>Papillon au ralenti</t>
  </si>
  <si>
    <t>Ouverture du papillon au ralenti ; le débit passe en cosinus, d'où un pas très fin</t>
  </si>
  <si>
    <t>Tube primaire</t>
  </si>
  <si>
    <t>Longueur du premier tronçon d'échappement : elle fixe la résonance grave</t>
  </si>
  <si>
    <t>Synthèse › Échappement</t>
  </si>
  <si>
    <t>Débit du primaire</t>
  </si>
  <si>
    <t>Capacité de passage de ce tronçon</t>
  </si>
  <si>
    <t>Débit de sortie</t>
  </si>
  <si>
    <t>Capacité de passage en sortie de ligne</t>
  </si>
  <si>
    <t>Collecteur</t>
  </si>
  <si>
    <t>Volume du collecteur où les tubes se rejoignent</t>
  </si>
  <si>
    <t>Poids dans le son</t>
  </si>
  <si>
    <t>Part de cette ligne d'échappement dans le son entendu</t>
  </si>
  <si>
    <t>Collecteur du 1er cylindre</t>
  </si>
  <si>
    <t>Long, il donne du rugueux en charge et des parasites au ralenti ; court, il enlève les deux</t>
  </si>
  <si>
    <t>Durée de coupure (simulé)</t>
  </si>
  <si>
    <t>Durée d'une coupure au rupteur, côté moteur simulé</t>
  </si>
  <si>
    <t>Synthèse › Rupteur</t>
  </si>
  <si>
    <t>Bruit d'air</t>
  </si>
  <si>
    <t>Souffle d'air d'engine-sim ; il multiplie le signal, à 1 le moteur disparaît</t>
  </si>
  <si>
    <t>Synthèse › Bruits</t>
  </si>
  <si>
    <t>Gigue d'échantillonnage</t>
  </si>
  <si>
    <t>Crépitement d'une ligne à retard tirée au sort ; mis à zéro, il faisait des « frt frt »</t>
  </si>
  <si>
    <t>Calcul et banc de synthèse</t>
  </si>
  <si>
    <t>Simulation</t>
  </si>
  <si>
    <t>Cadence de la simulation physique (6 à 20 kHz)</t>
  </si>
  <si>
    <t>Synthèse › Le calcul</t>
  </si>
  <si>
    <t>Appareil</t>
  </si>
  <si>
    <t>Convolution interne</t>
  </si>
  <si>
    <t>Résonance calculée dans engine-sim, ou déportée sur le navigateur</t>
  </si>
  <si>
    <t>Bloc rendu</t>
  </si>
  <si>
    <t>Nombre d'échantillons rendus d'un coup</t>
  </si>
  <si>
    <t>Réserve visée</t>
  </si>
  <si>
    <t>Marge de son d'avance : absorbe les pointes mais retarde le son</t>
  </si>
  <si>
    <t>Synthèse › Le timbre</t>
  </si>
  <si>
    <t>À voir</t>
  </si>
  <si>
    <t>Volume de la synthèse</t>
  </si>
  <si>
    <t>Niveau produit avant le niveleur</t>
  </si>
  <si>
    <t>Régime délissé</t>
  </si>
  <si>
    <t>Amplitude du bruit qui module le régime, sans quoi le son est une fréquence pure</t>
  </si>
  <si>
    <t>Vitesse de la dérive</t>
  </si>
  <si>
    <t>Vitesse de cette dérive : bas on entend un pleurage, haut une friture</t>
  </si>
  <si>
    <t>Balayage du régime</t>
  </si>
  <si>
    <t>Fait monter et descendre le régime tout seul, pour écouter sans conduire</t>
  </si>
  <si>
    <t>Synthèse › Le banc</t>
  </si>
  <si>
    <t>Durée d'un aller-retour</t>
  </si>
  <si>
    <t>Durée d'un cycle de balayage</t>
  </si>
  <si>
    <t>Effort imposé</t>
  </si>
  <si>
    <t>Impose un effort constant au lieu de suivre la chaîne</t>
  </si>
  <si>
    <t>Valeur imposée</t>
  </si>
  <si>
    <t>L'effort imposé</t>
  </si>
  <si>
    <t>Mesurer en silence</t>
  </si>
  <si>
    <t>Coupe la sortie sans rien arrêter derrière</t>
  </si>
  <si>
    <t>Synthèse</t>
  </si>
  <si>
    <t>Échappement et point d'écoute</t>
  </si>
  <si>
    <t>Papillon au repos</t>
  </si>
  <si>
    <t>Ouverture des gaz quand l'effort est nul</t>
  </si>
  <si>
    <t>Papillon à plein effort</t>
  </si>
  <si>
    <t>Ouverture des gaz à plein effort</t>
  </si>
  <si>
    <t>Niveleur</t>
  </si>
  <si>
    <t>Ramène la crête à une valeur constante quel que soit le moteur</t>
  </si>
  <si>
    <t>Gain fixe, niveleur coupé</t>
  </si>
  <si>
    <t>Le gain appliqué quand le niveleur est coupé</t>
  </si>
  <si>
    <t>Crête visée</t>
  </si>
  <si>
    <t>La crête que vise le niveleur</t>
  </si>
  <si>
    <t>D'où vient la résonance : quatre captations réelles, ou un tube fabriqué</t>
  </si>
  <si>
    <t>Résonance d'échappement</t>
  </si>
  <si>
    <t>Part de son réverbéré : à 0 le rauque revient, à 1 plus rien du son direct</t>
  </si>
  <si>
    <t>Synthèse + Conduite</t>
  </si>
  <si>
    <t>Accord de l'échappement</t>
  </si>
  <si>
    <t>Accord du tube fabriqué ; sans effet sur une captation</t>
  </si>
  <si>
    <t>Longueur de la résonance</t>
  </si>
  <si>
    <t>Durée de la queue : 220 ms faisaient une salle</t>
  </si>
  <si>
    <t>Déboucher en charge</t>
  </si>
  <si>
    <t>Rend en accélérant la clarté qu'on entend pied levé</t>
  </si>
  <si>
    <t>Silencieux / point d'écoute</t>
  </si>
  <si>
    <t>Coupure du silencieux, qui est le point d'écoute</t>
  </si>
  <si>
    <t>Étalonnage</t>
  </si>
  <si>
    <t>Six enregistrements</t>
  </si>
  <si>
    <t>Ville, route, autoroute, accélération franche, pied levé, freinage franc</t>
  </si>
  <si>
    <t>Télémétrie › Étalonnage</t>
  </si>
  <si>
    <t>Mixte</t>
  </si>
  <si>
    <t>Onze recopies</t>
  </si>
  <si>
    <t>Reportent les valeurs mesurées dans le profil, un geste à la fois</t>
  </si>
  <si>
    <t>Préférences d'appareil</t>
  </si>
  <si>
    <t>Volume</t>
  </si>
  <si>
    <t>Volume général ; dépend de l'autoradio et du bruit de roulement</t>
  </si>
  <si>
    <t>Conduite › Son</t>
  </si>
  <si>
    <t>Son activé ou coupé</t>
  </si>
  <si>
    <t>Démarre ou coupe la sortie audio</t>
  </si>
  <si>
    <t>Cadrans ou chiffres</t>
  </si>
  <si>
    <t>Visage de l'écran : aiguilles, ou grands chiffres</t>
  </si>
  <si>
    <t>Conduite</t>
  </si>
  <si>
    <t>Garder allumé</t>
  </si>
  <si>
    <t>Empêche l'écran de s'éteindre en roulant</t>
  </si>
  <si>
    <t>Conduite › Écran</t>
  </si>
  <si>
    <t>Auto ou manuelle, − / +</t>
  </si>
  <si>
    <t>Boîte automatique, ou passages à la main</t>
  </si>
  <si>
    <t>Conduite › Boîte</t>
  </si>
  <si>
    <t>Profils épinglés</t>
  </si>
  <si>
    <t>Met un profil en accès direct sur l'écran de conduite</t>
  </si>
  <si>
    <t>Simplifié ou avancé</t>
  </si>
  <si>
    <t>Montre ou cache les 61 réglages détaillés</t>
  </si>
  <si>
    <t>Config › Réglage</t>
  </si>
  <si>
    <t>Calme ↔ sportif</t>
  </si>
  <si>
    <t>Refait d'un geste une dizaine de réglages de boîte et de moteur</t>
  </si>
  <si>
    <t>Pépère ↔ nerveux</t>
  </si>
  <si>
    <t>Refait la réactivité du signal et les temporisations</t>
  </si>
  <si>
    <t>Profil sélectionné</t>
  </si>
  <si>
    <t>Retient quel profil était choisi</t>
  </si>
  <si>
    <t>implicite</t>
  </si>
  <si>
    <t>Vitesse de relecture</t>
  </si>
  <si>
    <t>Accélère ou ralentit la relecture d'une trace</t>
  </si>
  <si>
    <t>Télémétrie › Traces</t>
  </si>
  <si>
    <t>Source de vitesse</t>
  </si>
  <si>
    <t>GPS réel, simulateur, ou relecture</t>
  </si>
  <si>
    <t>Hors réseau et dépôt</t>
  </si>
  <si>
    <t>Son en arrière-plan</t>
  </si>
  <si>
    <t>Maintient la session audio quand l'écran s'éteint</t>
  </si>
  <si>
    <t>Config › Hors réseau</t>
  </si>
  <si>
    <t>Préparer hors réseau</t>
  </si>
  <si>
    <t>Met tous les échantillons en cache pour rouler sans réseau</t>
  </si>
  <si>
    <t>Installer sur l'écran d'accueil</t>
  </si>
  <si>
    <t>Installe l'application</t>
  </si>
  <si>
    <t>Libérer les banques inutilisées</t>
  </si>
  <si>
    <t>Vide du cache les banques qu'aucun profil n'emploie</t>
  </si>
  <si>
    <t>Identifiants de dépôt</t>
  </si>
  <si>
    <t>Le compte htpasswd qui sert à déposer — remplacé par les comptes</t>
  </si>
  <si>
    <t>Remontée au serveur</t>
  </si>
  <si>
    <t>Rien / le minimum / et la conduite — à revoir avec les comptes</t>
  </si>
  <si>
    <t>Réessayer</t>
  </si>
  <si>
    <t>Relance le dépôt de ce qui attend</t>
  </si>
  <si>
    <t>Profils du serveur</t>
  </si>
  <si>
    <t>Va chercher les profils déposés sur le NAS</t>
  </si>
  <si>
    <t>Réinitialiser</t>
  </si>
  <si>
    <t>Ramène une section, ou tout le profil, à sa création</t>
  </si>
  <si>
    <t>Partager, exporter, importer</t>
  </si>
  <si>
    <t>Transporte un profil par lien, par code à scanner, ou par fichier</t>
  </si>
  <si>
    <t>Profils d'usine</t>
  </si>
  <si>
    <t>Réintroduit Route et Sport si on les a supprimés</t>
  </si>
  <si>
    <t>Créer un profil</t>
  </si>
  <si>
    <t>Quatre choix en langage de conducteur, d'où découlent trente réglages</t>
  </si>
  <si>
    <t>Config › Créer</t>
  </si>
  <si>
    <t>Nom du profil</t>
  </si>
  <si>
    <t>Nom affiché</t>
  </si>
  <si>
    <t>Ce que tu gardes au volant</t>
  </si>
  <si>
    <t>Réglages</t>
  </si>
  <si>
    <t>Atelier</t>
  </si>
  <si>
    <t>Reste à trancher</t>
  </si>
  <si>
    <t>Total</t>
  </si>
  <si>
    <t>Les nombres se recalculent à mesure que tu remplis la colonne « Où » de l'onglet Réglages.</t>
  </si>
  <si>
    <t>tous les params "signal de vitesse" sont liés au profil de la voiture (la vraie) - donc valeurs par défaut en atelier, potentiellement adaptées avec le profil "voiture réelle" quand il est disponible (soit par choix du modèle de voiture dans un catalogue mis à disposition de l'utilisateur, soit par mesure dans l'onglet dédié à ça)</t>
  </si>
  <si>
    <t>peut-être inclure des profils "passage de vitesse" qui regroupent les paramètres correspondants - travaillés en atelier ? Ou intégrer ça dans les profils… je sais pas.
Ou alors lier les paramètres de boite au moteur + le mode - sport ou route.</t>
  </si>
  <si>
    <t>tous les sons seront enregistrés sauf les effets - voir specs du nouveau modèle</t>
  </si>
  <si>
    <t>N/A</t>
  </si>
  <si>
    <t>On ne fait plus de synthèse</t>
  </si>
  <si>
    <t>automatique - activer le profil étalonné ON/OFF</t>
  </si>
  <si>
    <t>forcer - pas besoin de paramètre</t>
  </si>
  <si>
    <t>pour la boite j'ai mes idées que je t'exposerai à part</t>
  </si>
  <si>
    <t>pas nécessaire si on simplifie les réglages</t>
  </si>
  <si>
    <t>GPS forcé en voiture</t>
  </si>
  <si>
    <t>pas utile je pense</t>
  </si>
  <si>
    <t>y'a le mini code à taper quand même si on veut se connecter à un compte existant</t>
  </si>
  <si>
    <t>automatique - précharger une dropdown des profils</t>
  </si>
  <si>
    <t>en voiture - reset des params voiture ; atelier - reset des params atelier</t>
  </si>
  <si>
    <t>nouveau système de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</si>
</sst>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1"/>
      <color rgb="FF000000"/>
      <name val="Arial"/>
    </font>
    <font>
      <b/>
      <sz val="13"/>
      <color rgb="FF1F3864"/>
      <name val="Arial"/>
    </font>
    <font>
      <b/>
      <sz val="11"/>
      <color rgb="FFFFFFFF"/>
      <name val="Arial"/>
    </font>
    <font>
      <sz val="10"/>
      <name val="Arial"/>
    </font>
    <font>
      <b/>
      <sz val="14"/>
      <color rgb="FF1F3864"/>
      <name val="Arial"/>
    </font>
    <font>
      <b/>
      <sz val="11"/>
      <name val="Arial"/>
    </font>
    <font>
      <i/>
      <sz val="10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6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7" fillId="3" borderId="1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workbookViewId="0"/>
  </sheetViews>
  <sheetFormatPr defaultRowHeight="15" x14ac:dyDescent="0.25"/>
  <cols>
    <col min="1" max="1" width="110" customWidth="1"/>
  </cols>
  <sheetData>
    <row r="1" spans="1:1" ht="20.25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ht="16.5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ht="16.5" x14ac:dyDescent="0.25">
      <c r="A11" s="3" t="s">
        <v>7</v>
      </c>
    </row>
    <row r="12" spans="1:1" x14ac:dyDescent="0.25">
      <c r="A12" s="2" t="s">
        <v>8</v>
      </c>
    </row>
    <row r="13" spans="1:1" x14ac:dyDescent="0.25">
      <c r="A13" s="2"/>
    </row>
    <row r="14" spans="1:1" ht="16.5" x14ac:dyDescent="0.25">
      <c r="A14" s="3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1" x14ac:dyDescent="0.25">
      <c r="A17" s="2"/>
    </row>
    <row r="18" spans="1:1" ht="16.5" x14ac:dyDescent="0.25">
      <c r="A18" s="3" t="s">
        <v>12</v>
      </c>
    </row>
    <row r="19" spans="1:1" x14ac:dyDescent="0.25">
      <c r="A19" s="2" t="s">
        <v>13</v>
      </c>
    </row>
    <row r="20" spans="1:1" x14ac:dyDescent="0.25">
      <c r="A20" s="2" t="s">
        <v>14</v>
      </c>
    </row>
    <row r="21" spans="1:1" x14ac:dyDescent="0.25">
      <c r="A21" s="2" t="s">
        <v>15</v>
      </c>
    </row>
    <row r="22" spans="1:1" x14ac:dyDescent="0.25">
      <c r="A22" s="2"/>
    </row>
    <row r="23" spans="1:1" x14ac:dyDescent="0.25">
      <c r="A23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9"/>
  <sheetViews>
    <sheetView tabSelected="1" workbookViewId="0">
      <pane xSplit="1" ySplit="1" topLeftCell="B116" activePane="bottomRight" state="frozen"/>
      <selection pane="topRight"/>
      <selection pane="bottomLeft"/>
      <selection pane="bottomRight" activeCell="G160" sqref="G160"/>
    </sheetView>
  </sheetViews>
  <sheetFormatPr defaultRowHeight="15" x14ac:dyDescent="0.25"/>
  <cols>
    <col min="1" max="1" width="26" customWidth="1"/>
    <col min="2" max="2" width="32" customWidth="1"/>
    <col min="3" max="3" width="118.42578125" customWidth="1"/>
    <col min="4" max="4" width="28" customWidth="1"/>
    <col min="5" max="5" width="11" customWidth="1"/>
    <col min="6" max="6" width="12" customWidth="1"/>
    <col min="7" max="7" width="34" customWidth="1"/>
  </cols>
  <sheetData>
    <row r="1" spans="1:7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25">
      <c r="A2" s="5" t="s">
        <v>24</v>
      </c>
      <c r="B2" s="6" t="s">
        <v>25</v>
      </c>
      <c r="C2" s="7" t="s">
        <v>26</v>
      </c>
      <c r="D2" s="6" t="s">
        <v>27</v>
      </c>
      <c r="E2" s="6" t="s">
        <v>28</v>
      </c>
      <c r="F2" s="8" t="s">
        <v>390</v>
      </c>
      <c r="G2" s="8"/>
    </row>
    <row r="3" spans="1:7" x14ac:dyDescent="0.25">
      <c r="A3" s="5" t="s">
        <v>24</v>
      </c>
      <c r="B3" s="6" t="s">
        <v>29</v>
      </c>
      <c r="C3" s="7" t="s">
        <v>30</v>
      </c>
      <c r="D3" s="6" t="s">
        <v>27</v>
      </c>
      <c r="E3" s="6" t="s">
        <v>28</v>
      </c>
      <c r="F3" s="8" t="s">
        <v>390</v>
      </c>
      <c r="G3" s="8"/>
    </row>
    <row r="4" spans="1:7" x14ac:dyDescent="0.25">
      <c r="A4" s="5" t="s">
        <v>24</v>
      </c>
      <c r="B4" s="6" t="s">
        <v>31</v>
      </c>
      <c r="C4" s="7" t="s">
        <v>32</v>
      </c>
      <c r="D4" s="6" t="s">
        <v>27</v>
      </c>
      <c r="E4" s="6" t="s">
        <v>28</v>
      </c>
      <c r="F4" s="8" t="s">
        <v>390</v>
      </c>
      <c r="G4" s="8"/>
    </row>
    <row r="5" spans="1:7" x14ac:dyDescent="0.25">
      <c r="A5" s="5" t="s">
        <v>24</v>
      </c>
      <c r="B5" s="6" t="s">
        <v>33</v>
      </c>
      <c r="C5" s="7" t="s">
        <v>34</v>
      </c>
      <c r="D5" s="6" t="s">
        <v>27</v>
      </c>
      <c r="E5" s="6" t="s">
        <v>28</v>
      </c>
      <c r="F5" s="8" t="s">
        <v>390</v>
      </c>
      <c r="G5" s="8"/>
    </row>
    <row r="6" spans="1:7" x14ac:dyDescent="0.25">
      <c r="A6" s="5" t="s">
        <v>24</v>
      </c>
      <c r="B6" s="6" t="s">
        <v>35</v>
      </c>
      <c r="C6" s="7" t="s">
        <v>36</v>
      </c>
      <c r="D6" s="6" t="s">
        <v>27</v>
      </c>
      <c r="E6" s="6" t="s">
        <v>28</v>
      </c>
      <c r="F6" s="8" t="s">
        <v>390</v>
      </c>
      <c r="G6" s="8"/>
    </row>
    <row r="7" spans="1:7" x14ac:dyDescent="0.25">
      <c r="A7" s="5" t="s">
        <v>24</v>
      </c>
      <c r="B7" s="6" t="s">
        <v>37</v>
      </c>
      <c r="C7" s="7" t="s">
        <v>38</v>
      </c>
      <c r="D7" s="6" t="s">
        <v>27</v>
      </c>
      <c r="E7" s="6" t="s">
        <v>28</v>
      </c>
      <c r="F7" s="8" t="s">
        <v>390</v>
      </c>
      <c r="G7" s="8"/>
    </row>
    <row r="8" spans="1:7" x14ac:dyDescent="0.25">
      <c r="A8" s="5" t="s">
        <v>24</v>
      </c>
      <c r="B8" s="6" t="s">
        <v>39</v>
      </c>
      <c r="C8" s="7" t="s">
        <v>40</v>
      </c>
      <c r="D8" s="6" t="s">
        <v>27</v>
      </c>
      <c r="E8" s="6" t="s">
        <v>28</v>
      </c>
      <c r="F8" s="8" t="s">
        <v>390</v>
      </c>
      <c r="G8" s="8"/>
    </row>
    <row r="9" spans="1:7" x14ac:dyDescent="0.25">
      <c r="A9" s="5" t="s">
        <v>24</v>
      </c>
      <c r="B9" s="6" t="s">
        <v>41</v>
      </c>
      <c r="C9" s="7" t="s">
        <v>42</v>
      </c>
      <c r="D9" s="6" t="s">
        <v>27</v>
      </c>
      <c r="E9" s="6" t="s">
        <v>28</v>
      </c>
      <c r="F9" s="8" t="s">
        <v>390</v>
      </c>
      <c r="G9" s="8"/>
    </row>
    <row r="10" spans="1:7" x14ac:dyDescent="0.25">
      <c r="A10" s="5" t="s">
        <v>24</v>
      </c>
      <c r="B10" s="6" t="s">
        <v>43</v>
      </c>
      <c r="C10" s="7" t="s">
        <v>44</v>
      </c>
      <c r="D10" s="6" t="s">
        <v>27</v>
      </c>
      <c r="E10" s="6" t="s">
        <v>28</v>
      </c>
      <c r="F10" s="8" t="s">
        <v>390</v>
      </c>
      <c r="G10" s="8"/>
    </row>
    <row r="11" spans="1:7" x14ac:dyDescent="0.25">
      <c r="A11" s="5" t="s">
        <v>24</v>
      </c>
      <c r="B11" s="6" t="s">
        <v>45</v>
      </c>
      <c r="C11" s="7" t="s">
        <v>46</v>
      </c>
      <c r="D11" s="6" t="s">
        <v>27</v>
      </c>
      <c r="E11" s="6" t="s">
        <v>28</v>
      </c>
      <c r="F11" s="8" t="s">
        <v>390</v>
      </c>
      <c r="G11" s="8"/>
    </row>
    <row r="12" spans="1:7" x14ac:dyDescent="0.25">
      <c r="A12" s="5" t="s">
        <v>24</v>
      </c>
      <c r="B12" s="6" t="s">
        <v>47</v>
      </c>
      <c r="C12" s="7" t="s">
        <v>48</v>
      </c>
      <c r="D12" s="6" t="s">
        <v>27</v>
      </c>
      <c r="E12" s="6" t="s">
        <v>28</v>
      </c>
      <c r="F12" s="8" t="s">
        <v>390</v>
      </c>
      <c r="G12" s="8"/>
    </row>
    <row r="13" spans="1:7" x14ac:dyDescent="0.25">
      <c r="A13" s="5" t="s">
        <v>49</v>
      </c>
      <c r="B13" s="6" t="s">
        <v>50</v>
      </c>
      <c r="C13" s="7" t="s">
        <v>51</v>
      </c>
      <c r="D13" s="6" t="s">
        <v>52</v>
      </c>
      <c r="E13" s="6" t="s">
        <v>28</v>
      </c>
      <c r="F13" s="8" t="s">
        <v>390</v>
      </c>
      <c r="G13" s="8" t="s">
        <v>395</v>
      </c>
    </row>
    <row r="14" spans="1:7" x14ac:dyDescent="0.25">
      <c r="A14" s="5" t="s">
        <v>49</v>
      </c>
      <c r="B14" s="6" t="s">
        <v>53</v>
      </c>
      <c r="C14" s="7" t="s">
        <v>54</v>
      </c>
      <c r="D14" s="6" t="s">
        <v>52</v>
      </c>
      <c r="E14" s="6" t="s">
        <v>28</v>
      </c>
      <c r="F14" s="8" t="s">
        <v>390</v>
      </c>
      <c r="G14" s="8" t="s">
        <v>395</v>
      </c>
    </row>
    <row r="15" spans="1:7" x14ac:dyDescent="0.25">
      <c r="A15" s="5" t="s">
        <v>49</v>
      </c>
      <c r="B15" s="6" t="s">
        <v>55</v>
      </c>
      <c r="C15" s="7" t="s">
        <v>56</v>
      </c>
      <c r="D15" s="6" t="s">
        <v>52</v>
      </c>
      <c r="E15" s="6" t="s">
        <v>28</v>
      </c>
      <c r="F15" s="8" t="s">
        <v>390</v>
      </c>
      <c r="G15" s="8" t="s">
        <v>395</v>
      </c>
    </row>
    <row r="16" spans="1:7" x14ac:dyDescent="0.25">
      <c r="A16" s="5" t="s">
        <v>49</v>
      </c>
      <c r="B16" s="6" t="s">
        <v>57</v>
      </c>
      <c r="C16" s="7" t="s">
        <v>58</v>
      </c>
      <c r="D16" s="6" t="s">
        <v>52</v>
      </c>
      <c r="E16" s="6" t="s">
        <v>28</v>
      </c>
      <c r="F16" s="8" t="s">
        <v>390</v>
      </c>
      <c r="G16" s="8" t="s">
        <v>395</v>
      </c>
    </row>
    <row r="17" spans="1:7" x14ac:dyDescent="0.25">
      <c r="A17" s="5" t="s">
        <v>49</v>
      </c>
      <c r="B17" s="6" t="s">
        <v>59</v>
      </c>
      <c r="C17" s="7" t="s">
        <v>60</v>
      </c>
      <c r="D17" s="6" t="s">
        <v>52</v>
      </c>
      <c r="E17" s="6" t="s">
        <v>28</v>
      </c>
      <c r="F17" s="8" t="s">
        <v>390</v>
      </c>
      <c r="G17" s="8" t="s">
        <v>395</v>
      </c>
    </row>
    <row r="18" spans="1:7" x14ac:dyDescent="0.25">
      <c r="A18" s="5" t="s">
        <v>49</v>
      </c>
      <c r="B18" s="6" t="s">
        <v>61</v>
      </c>
      <c r="C18" s="7" t="s">
        <v>62</v>
      </c>
      <c r="D18" s="6" t="s">
        <v>52</v>
      </c>
      <c r="E18" s="6" t="s">
        <v>28</v>
      </c>
      <c r="F18" s="8" t="s">
        <v>390</v>
      </c>
      <c r="G18" s="8" t="s">
        <v>395</v>
      </c>
    </row>
    <row r="19" spans="1:7" x14ac:dyDescent="0.25">
      <c r="A19" s="5" t="s">
        <v>49</v>
      </c>
      <c r="B19" s="6" t="s">
        <v>63</v>
      </c>
      <c r="C19" s="7" t="s">
        <v>64</v>
      </c>
      <c r="D19" s="6" t="s">
        <v>52</v>
      </c>
      <c r="E19" s="6" t="s">
        <v>28</v>
      </c>
      <c r="F19" s="8" t="s">
        <v>390</v>
      </c>
      <c r="G19" s="8" t="s">
        <v>395</v>
      </c>
    </row>
    <row r="20" spans="1:7" x14ac:dyDescent="0.25">
      <c r="A20" s="5" t="s">
        <v>49</v>
      </c>
      <c r="B20" s="6" t="s">
        <v>65</v>
      </c>
      <c r="C20" s="7" t="s">
        <v>66</v>
      </c>
      <c r="D20" s="6" t="s">
        <v>52</v>
      </c>
      <c r="E20" s="6" t="s">
        <v>28</v>
      </c>
      <c r="F20" s="8" t="s">
        <v>390</v>
      </c>
      <c r="G20" s="8" t="s">
        <v>395</v>
      </c>
    </row>
    <row r="21" spans="1:7" x14ac:dyDescent="0.25">
      <c r="A21" s="5" t="s">
        <v>49</v>
      </c>
      <c r="B21" s="6" t="s">
        <v>67</v>
      </c>
      <c r="C21" s="7" t="s">
        <v>68</v>
      </c>
      <c r="D21" s="6" t="s">
        <v>52</v>
      </c>
      <c r="E21" s="6" t="s">
        <v>28</v>
      </c>
      <c r="F21" s="8" t="s">
        <v>198</v>
      </c>
      <c r="G21" s="8" t="s">
        <v>395</v>
      </c>
    </row>
    <row r="22" spans="1:7" x14ac:dyDescent="0.25">
      <c r="A22" s="5" t="s">
        <v>49</v>
      </c>
      <c r="B22" s="6" t="s">
        <v>69</v>
      </c>
      <c r="C22" s="7" t="s">
        <v>70</v>
      </c>
      <c r="D22" s="6" t="s">
        <v>52</v>
      </c>
      <c r="E22" s="6" t="s">
        <v>28</v>
      </c>
      <c r="F22" s="8" t="s">
        <v>390</v>
      </c>
      <c r="G22" s="8" t="s">
        <v>395</v>
      </c>
    </row>
    <row r="23" spans="1:7" x14ac:dyDescent="0.25">
      <c r="A23" s="5" t="s">
        <v>49</v>
      </c>
      <c r="B23" s="6" t="s">
        <v>71</v>
      </c>
      <c r="C23" s="7" t="s">
        <v>72</v>
      </c>
      <c r="D23" s="6" t="s">
        <v>52</v>
      </c>
      <c r="E23" s="6" t="s">
        <v>28</v>
      </c>
      <c r="F23" s="8" t="s">
        <v>390</v>
      </c>
      <c r="G23" s="8" t="s">
        <v>395</v>
      </c>
    </row>
    <row r="24" spans="1:7" x14ac:dyDescent="0.25">
      <c r="A24" s="5" t="s">
        <v>49</v>
      </c>
      <c r="B24" s="6" t="s">
        <v>73</v>
      </c>
      <c r="C24" s="7" t="s">
        <v>74</v>
      </c>
      <c r="D24" s="6" t="s">
        <v>52</v>
      </c>
      <c r="E24" s="6" t="s">
        <v>28</v>
      </c>
      <c r="F24" s="8" t="s">
        <v>390</v>
      </c>
      <c r="G24" s="8" t="s">
        <v>395</v>
      </c>
    </row>
    <row r="25" spans="1:7" x14ac:dyDescent="0.25">
      <c r="A25" s="5" t="s">
        <v>49</v>
      </c>
      <c r="B25" s="6" t="s">
        <v>75</v>
      </c>
      <c r="C25" s="7" t="s">
        <v>76</v>
      </c>
      <c r="D25" s="6" t="s">
        <v>52</v>
      </c>
      <c r="E25" s="6" t="s">
        <v>28</v>
      </c>
      <c r="F25" s="8" t="s">
        <v>390</v>
      </c>
      <c r="G25" s="8" t="s">
        <v>395</v>
      </c>
    </row>
    <row r="26" spans="1:7" x14ac:dyDescent="0.25">
      <c r="A26" s="5" t="s">
        <v>49</v>
      </c>
      <c r="B26" s="6" t="s">
        <v>77</v>
      </c>
      <c r="C26" s="7" t="s">
        <v>78</v>
      </c>
      <c r="D26" s="6" t="s">
        <v>52</v>
      </c>
      <c r="E26" s="6" t="s">
        <v>28</v>
      </c>
      <c r="F26" s="8" t="s">
        <v>390</v>
      </c>
      <c r="G26" s="8" t="s">
        <v>395</v>
      </c>
    </row>
    <row r="27" spans="1:7" x14ac:dyDescent="0.25">
      <c r="A27" s="5" t="s">
        <v>49</v>
      </c>
      <c r="B27" s="6" t="s">
        <v>79</v>
      </c>
      <c r="C27" s="7" t="s">
        <v>80</v>
      </c>
      <c r="D27" s="6" t="s">
        <v>52</v>
      </c>
      <c r="E27" s="6" t="s">
        <v>28</v>
      </c>
      <c r="F27" s="8" t="s">
        <v>390</v>
      </c>
      <c r="G27" s="8" t="s">
        <v>395</v>
      </c>
    </row>
    <row r="28" spans="1:7" x14ac:dyDescent="0.25">
      <c r="A28" s="5" t="s">
        <v>49</v>
      </c>
      <c r="B28" s="6" t="s">
        <v>81</v>
      </c>
      <c r="C28" s="7" t="s">
        <v>82</v>
      </c>
      <c r="D28" s="6" t="s">
        <v>52</v>
      </c>
      <c r="E28" s="6" t="s">
        <v>28</v>
      </c>
      <c r="F28" s="8" t="s">
        <v>390</v>
      </c>
      <c r="G28" s="8" t="s">
        <v>395</v>
      </c>
    </row>
    <row r="29" spans="1:7" x14ac:dyDescent="0.25">
      <c r="A29" s="5" t="s">
        <v>49</v>
      </c>
      <c r="B29" s="6" t="s">
        <v>83</v>
      </c>
      <c r="C29" s="7" t="s">
        <v>84</v>
      </c>
      <c r="D29" s="6" t="s">
        <v>85</v>
      </c>
      <c r="E29" s="6" t="s">
        <v>28</v>
      </c>
      <c r="F29" s="8" t="s">
        <v>390</v>
      </c>
      <c r="G29" s="8" t="s">
        <v>395</v>
      </c>
    </row>
    <row r="30" spans="1:7" x14ac:dyDescent="0.25">
      <c r="A30" s="5" t="s">
        <v>86</v>
      </c>
      <c r="B30" s="6" t="s">
        <v>87</v>
      </c>
      <c r="C30" s="7" t="s">
        <v>88</v>
      </c>
      <c r="D30" s="6" t="s">
        <v>89</v>
      </c>
      <c r="E30" s="6" t="s">
        <v>28</v>
      </c>
      <c r="F30" s="8" t="s">
        <v>390</v>
      </c>
      <c r="G30" s="8" t="s">
        <v>394</v>
      </c>
    </row>
    <row r="31" spans="1:7" x14ac:dyDescent="0.25">
      <c r="A31" s="5" t="s">
        <v>86</v>
      </c>
      <c r="B31" s="6" t="s">
        <v>90</v>
      </c>
      <c r="C31" s="7" t="s">
        <v>91</v>
      </c>
      <c r="D31" s="6" t="s">
        <v>92</v>
      </c>
      <c r="E31" s="6" t="s">
        <v>28</v>
      </c>
      <c r="F31" s="8" t="s">
        <v>390</v>
      </c>
      <c r="G31" s="8" t="s">
        <v>394</v>
      </c>
    </row>
    <row r="32" spans="1:7" x14ac:dyDescent="0.25">
      <c r="A32" s="5" t="s">
        <v>86</v>
      </c>
      <c r="B32" s="6" t="s">
        <v>93</v>
      </c>
      <c r="C32" s="7" t="s">
        <v>94</v>
      </c>
      <c r="D32" s="6" t="s">
        <v>89</v>
      </c>
      <c r="E32" s="6" t="s">
        <v>28</v>
      </c>
      <c r="F32" s="8" t="s">
        <v>390</v>
      </c>
      <c r="G32" s="8" t="s">
        <v>394</v>
      </c>
    </row>
    <row r="33" spans="1:7" x14ac:dyDescent="0.25">
      <c r="A33" s="5" t="s">
        <v>86</v>
      </c>
      <c r="B33" s="6" t="s">
        <v>95</v>
      </c>
      <c r="C33" s="7" t="s">
        <v>96</v>
      </c>
      <c r="D33" s="6" t="s">
        <v>89</v>
      </c>
      <c r="E33" s="6" t="s">
        <v>28</v>
      </c>
      <c r="F33" s="8" t="s">
        <v>390</v>
      </c>
      <c r="G33" s="8" t="s">
        <v>394</v>
      </c>
    </row>
    <row r="34" spans="1:7" x14ac:dyDescent="0.25">
      <c r="A34" s="5" t="s">
        <v>86</v>
      </c>
      <c r="B34" s="6" t="s">
        <v>97</v>
      </c>
      <c r="C34" s="7" t="s">
        <v>98</v>
      </c>
      <c r="D34" s="6" t="s">
        <v>89</v>
      </c>
      <c r="E34" s="6" t="s">
        <v>28</v>
      </c>
      <c r="F34" s="8" t="s">
        <v>390</v>
      </c>
      <c r="G34" s="8" t="s">
        <v>394</v>
      </c>
    </row>
    <row r="35" spans="1:7" x14ac:dyDescent="0.25">
      <c r="A35" s="5" t="s">
        <v>86</v>
      </c>
      <c r="B35" s="6" t="s">
        <v>99</v>
      </c>
      <c r="C35" s="7" t="s">
        <v>100</v>
      </c>
      <c r="D35" s="6" t="s">
        <v>89</v>
      </c>
      <c r="E35" s="6" t="s">
        <v>28</v>
      </c>
      <c r="F35" s="8" t="s">
        <v>390</v>
      </c>
      <c r="G35" s="8" t="s">
        <v>394</v>
      </c>
    </row>
    <row r="36" spans="1:7" x14ac:dyDescent="0.25">
      <c r="A36" s="5" t="s">
        <v>101</v>
      </c>
      <c r="B36" s="6" t="s">
        <v>102</v>
      </c>
      <c r="C36" s="7" t="s">
        <v>103</v>
      </c>
      <c r="D36" s="6" t="s">
        <v>104</v>
      </c>
      <c r="E36" s="6" t="s">
        <v>28</v>
      </c>
      <c r="F36" s="8" t="s">
        <v>198</v>
      </c>
      <c r="G36" s="8"/>
    </row>
    <row r="37" spans="1:7" x14ac:dyDescent="0.25">
      <c r="A37" s="5" t="s">
        <v>101</v>
      </c>
      <c r="B37" s="6" t="s">
        <v>105</v>
      </c>
      <c r="C37" s="7" t="s">
        <v>106</v>
      </c>
      <c r="D37" s="6" t="s">
        <v>104</v>
      </c>
      <c r="E37" s="6" t="s">
        <v>28</v>
      </c>
      <c r="F37" s="8" t="s">
        <v>390</v>
      </c>
      <c r="G37" s="8"/>
    </row>
    <row r="38" spans="1:7" x14ac:dyDescent="0.25">
      <c r="A38" s="5" t="s">
        <v>101</v>
      </c>
      <c r="B38" s="6" t="s">
        <v>107</v>
      </c>
      <c r="C38" s="7" t="s">
        <v>108</v>
      </c>
      <c r="D38" s="6" t="s">
        <v>104</v>
      </c>
      <c r="E38" s="6" t="s">
        <v>28</v>
      </c>
      <c r="F38" s="8" t="s">
        <v>390</v>
      </c>
      <c r="G38" s="8"/>
    </row>
    <row r="39" spans="1:7" x14ac:dyDescent="0.25">
      <c r="A39" s="5" t="s">
        <v>101</v>
      </c>
      <c r="B39" s="6" t="s">
        <v>109</v>
      </c>
      <c r="C39" s="7" t="s">
        <v>110</v>
      </c>
      <c r="D39" s="6" t="s">
        <v>104</v>
      </c>
      <c r="E39" s="6" t="s">
        <v>28</v>
      </c>
      <c r="F39" s="8" t="s">
        <v>198</v>
      </c>
      <c r="G39" s="8"/>
    </row>
    <row r="40" spans="1:7" x14ac:dyDescent="0.25">
      <c r="A40" s="5" t="s">
        <v>101</v>
      </c>
      <c r="B40" s="6" t="s">
        <v>111</v>
      </c>
      <c r="C40" s="7" t="s">
        <v>112</v>
      </c>
      <c r="D40" s="6" t="s">
        <v>104</v>
      </c>
      <c r="E40" s="6" t="s">
        <v>28</v>
      </c>
      <c r="F40" s="8" t="s">
        <v>198</v>
      </c>
      <c r="G40" s="8"/>
    </row>
    <row r="41" spans="1:7" x14ac:dyDescent="0.25">
      <c r="A41" s="5" t="s">
        <v>101</v>
      </c>
      <c r="B41" s="6" t="s">
        <v>113</v>
      </c>
      <c r="C41" s="7" t="s">
        <v>114</v>
      </c>
      <c r="D41" s="6" t="s">
        <v>104</v>
      </c>
      <c r="E41" s="6" t="s">
        <v>28</v>
      </c>
      <c r="F41" s="8" t="s">
        <v>390</v>
      </c>
      <c r="G41" s="8"/>
    </row>
    <row r="42" spans="1:7" x14ac:dyDescent="0.25">
      <c r="A42" s="5" t="s">
        <v>101</v>
      </c>
      <c r="B42" s="6" t="s">
        <v>115</v>
      </c>
      <c r="C42" s="7" t="s">
        <v>116</v>
      </c>
      <c r="D42" s="6" t="s">
        <v>104</v>
      </c>
      <c r="E42" s="6" t="s">
        <v>28</v>
      </c>
      <c r="F42" s="8" t="s">
        <v>390</v>
      </c>
      <c r="G42" s="8"/>
    </row>
    <row r="43" spans="1:7" x14ac:dyDescent="0.25">
      <c r="A43" s="5" t="s">
        <v>101</v>
      </c>
      <c r="B43" s="6" t="s">
        <v>117</v>
      </c>
      <c r="C43" s="7" t="s">
        <v>118</v>
      </c>
      <c r="D43" s="6" t="s">
        <v>104</v>
      </c>
      <c r="E43" s="6" t="s">
        <v>28</v>
      </c>
      <c r="F43" s="8" t="s">
        <v>390</v>
      </c>
      <c r="G43" s="8"/>
    </row>
    <row r="44" spans="1:7" x14ac:dyDescent="0.25">
      <c r="A44" s="5" t="s">
        <v>101</v>
      </c>
      <c r="B44" s="6" t="s">
        <v>119</v>
      </c>
      <c r="C44" s="7" t="s">
        <v>120</v>
      </c>
      <c r="D44" s="6" t="s">
        <v>104</v>
      </c>
      <c r="E44" s="6" t="s">
        <v>28</v>
      </c>
      <c r="F44" s="8" t="s">
        <v>390</v>
      </c>
      <c r="G44" s="8"/>
    </row>
    <row r="45" spans="1:7" x14ac:dyDescent="0.25">
      <c r="A45" s="5" t="s">
        <v>101</v>
      </c>
      <c r="B45" s="6" t="s">
        <v>121</v>
      </c>
      <c r="C45" s="7" t="s">
        <v>122</v>
      </c>
      <c r="D45" s="6" t="s">
        <v>104</v>
      </c>
      <c r="E45" s="6" t="s">
        <v>28</v>
      </c>
      <c r="F45" s="8" t="s">
        <v>390</v>
      </c>
      <c r="G45" s="8"/>
    </row>
    <row r="46" spans="1:7" x14ac:dyDescent="0.25">
      <c r="A46" s="5" t="s">
        <v>101</v>
      </c>
      <c r="B46" s="6" t="s">
        <v>123</v>
      </c>
      <c r="C46" s="7" t="s">
        <v>124</v>
      </c>
      <c r="D46" s="6" t="s">
        <v>104</v>
      </c>
      <c r="E46" s="6" t="s">
        <v>28</v>
      </c>
      <c r="F46" s="8" t="s">
        <v>390</v>
      </c>
      <c r="G46" s="8"/>
    </row>
    <row r="47" spans="1:7" x14ac:dyDescent="0.25">
      <c r="A47" s="5" t="s">
        <v>101</v>
      </c>
      <c r="B47" s="6" t="s">
        <v>125</v>
      </c>
      <c r="C47" s="7" t="s">
        <v>126</v>
      </c>
      <c r="D47" s="6" t="s">
        <v>104</v>
      </c>
      <c r="E47" s="6" t="s">
        <v>28</v>
      </c>
      <c r="F47" s="8" t="s">
        <v>390</v>
      </c>
      <c r="G47" s="8"/>
    </row>
    <row r="48" spans="1:7" x14ac:dyDescent="0.25">
      <c r="A48" s="5" t="s">
        <v>101</v>
      </c>
      <c r="B48" s="6" t="s">
        <v>127</v>
      </c>
      <c r="C48" s="7" t="s">
        <v>128</v>
      </c>
      <c r="D48" s="6" t="s">
        <v>104</v>
      </c>
      <c r="E48" s="6" t="s">
        <v>28</v>
      </c>
      <c r="F48" s="8" t="s">
        <v>390</v>
      </c>
      <c r="G48" s="8"/>
    </row>
    <row r="49" spans="1:7" x14ac:dyDescent="0.25">
      <c r="A49" s="5" t="s">
        <v>101</v>
      </c>
      <c r="B49" s="6" t="s">
        <v>129</v>
      </c>
      <c r="C49" s="7" t="s">
        <v>130</v>
      </c>
      <c r="D49" s="6" t="s">
        <v>104</v>
      </c>
      <c r="E49" s="6" t="s">
        <v>28</v>
      </c>
      <c r="F49" s="8" t="s">
        <v>198</v>
      </c>
      <c r="G49" s="8"/>
    </row>
    <row r="50" spans="1:7" x14ac:dyDescent="0.25">
      <c r="A50" s="5" t="s">
        <v>101</v>
      </c>
      <c r="B50" s="6" t="s">
        <v>131</v>
      </c>
      <c r="C50" s="7" t="s">
        <v>132</v>
      </c>
      <c r="D50" s="6" t="s">
        <v>104</v>
      </c>
      <c r="E50" s="6" t="s">
        <v>28</v>
      </c>
      <c r="F50" s="8" t="s">
        <v>390</v>
      </c>
      <c r="G50" s="8"/>
    </row>
    <row r="51" spans="1:7" x14ac:dyDescent="0.25">
      <c r="A51" s="5" t="s">
        <v>101</v>
      </c>
      <c r="B51" s="6" t="s">
        <v>133</v>
      </c>
      <c r="C51" s="7" t="s">
        <v>134</v>
      </c>
      <c r="D51" s="6" t="s">
        <v>104</v>
      </c>
      <c r="E51" s="6" t="s">
        <v>28</v>
      </c>
      <c r="F51" s="8" t="s">
        <v>390</v>
      </c>
      <c r="G51" s="8"/>
    </row>
    <row r="52" spans="1:7" x14ac:dyDescent="0.25">
      <c r="A52" s="5" t="s">
        <v>135</v>
      </c>
      <c r="B52" s="6" t="s">
        <v>136</v>
      </c>
      <c r="C52" s="7" t="s">
        <v>137</v>
      </c>
      <c r="D52" s="6" t="s">
        <v>138</v>
      </c>
      <c r="E52" s="6" t="s">
        <v>28</v>
      </c>
      <c r="F52" s="8" t="s">
        <v>390</v>
      </c>
      <c r="G52" s="8"/>
    </row>
    <row r="53" spans="1:7" x14ac:dyDescent="0.25">
      <c r="A53" s="5" t="s">
        <v>135</v>
      </c>
      <c r="B53" s="6" t="s">
        <v>139</v>
      </c>
      <c r="C53" s="7" t="s">
        <v>140</v>
      </c>
      <c r="D53" s="6" t="s">
        <v>138</v>
      </c>
      <c r="E53" s="6" t="s">
        <v>28</v>
      </c>
      <c r="F53" s="8" t="s">
        <v>390</v>
      </c>
      <c r="G53" s="8"/>
    </row>
    <row r="54" spans="1:7" x14ac:dyDescent="0.25">
      <c r="A54" s="5" t="s">
        <v>135</v>
      </c>
      <c r="B54" s="6" t="s">
        <v>141</v>
      </c>
      <c r="C54" s="7" t="s">
        <v>142</v>
      </c>
      <c r="D54" s="6" t="s">
        <v>138</v>
      </c>
      <c r="E54" s="6" t="s">
        <v>28</v>
      </c>
      <c r="F54" s="8" t="s">
        <v>390</v>
      </c>
      <c r="G54" s="8"/>
    </row>
    <row r="55" spans="1:7" x14ac:dyDescent="0.25">
      <c r="A55" s="5" t="s">
        <v>135</v>
      </c>
      <c r="B55" s="6" t="s">
        <v>143</v>
      </c>
      <c r="C55" s="7" t="s">
        <v>144</v>
      </c>
      <c r="D55" s="6" t="s">
        <v>138</v>
      </c>
      <c r="E55" s="6" t="s">
        <v>28</v>
      </c>
      <c r="F55" s="8" t="s">
        <v>390</v>
      </c>
      <c r="G55" s="8"/>
    </row>
    <row r="56" spans="1:7" x14ac:dyDescent="0.25">
      <c r="A56" s="5" t="s">
        <v>135</v>
      </c>
      <c r="B56" s="6" t="s">
        <v>145</v>
      </c>
      <c r="C56" s="7" t="s">
        <v>146</v>
      </c>
      <c r="D56" s="6" t="s">
        <v>138</v>
      </c>
      <c r="E56" s="6" t="s">
        <v>28</v>
      </c>
      <c r="F56" s="8" t="s">
        <v>390</v>
      </c>
      <c r="G56" s="8"/>
    </row>
    <row r="57" spans="1:7" x14ac:dyDescent="0.25">
      <c r="A57" s="5" t="s">
        <v>135</v>
      </c>
      <c r="B57" s="6" t="s">
        <v>147</v>
      </c>
      <c r="C57" s="7" t="s">
        <v>148</v>
      </c>
      <c r="D57" s="6" t="s">
        <v>138</v>
      </c>
      <c r="E57" s="6" t="s">
        <v>28</v>
      </c>
      <c r="F57" s="8" t="s">
        <v>390</v>
      </c>
      <c r="G57" s="8"/>
    </row>
    <row r="58" spans="1:7" x14ac:dyDescent="0.25">
      <c r="A58" s="5" t="s">
        <v>135</v>
      </c>
      <c r="B58" s="6" t="s">
        <v>149</v>
      </c>
      <c r="C58" s="7" t="s">
        <v>150</v>
      </c>
      <c r="D58" s="6" t="s">
        <v>138</v>
      </c>
      <c r="E58" s="6" t="s">
        <v>28</v>
      </c>
      <c r="F58" s="8" t="s">
        <v>390</v>
      </c>
      <c r="G58" s="8"/>
    </row>
    <row r="59" spans="1:7" x14ac:dyDescent="0.25">
      <c r="A59" s="5" t="s">
        <v>135</v>
      </c>
      <c r="B59" s="6" t="s">
        <v>151</v>
      </c>
      <c r="C59" s="7" t="s">
        <v>152</v>
      </c>
      <c r="D59" s="6" t="s">
        <v>138</v>
      </c>
      <c r="E59" s="6" t="s">
        <v>28</v>
      </c>
      <c r="F59" s="8" t="s">
        <v>390</v>
      </c>
      <c r="G59" s="8"/>
    </row>
    <row r="60" spans="1:7" x14ac:dyDescent="0.25">
      <c r="A60" s="5" t="s">
        <v>135</v>
      </c>
      <c r="B60" s="6" t="s">
        <v>153</v>
      </c>
      <c r="C60" s="7" t="s">
        <v>154</v>
      </c>
      <c r="D60" s="6" t="s">
        <v>138</v>
      </c>
      <c r="E60" s="6" t="s">
        <v>28</v>
      </c>
      <c r="F60" s="8" t="s">
        <v>390</v>
      </c>
      <c r="G60" s="8"/>
    </row>
    <row r="61" spans="1:7" x14ac:dyDescent="0.25">
      <c r="A61" s="5" t="s">
        <v>135</v>
      </c>
      <c r="B61" s="6" t="s">
        <v>155</v>
      </c>
      <c r="C61" s="7" t="s">
        <v>156</v>
      </c>
      <c r="D61" s="6" t="s">
        <v>157</v>
      </c>
      <c r="E61" s="6" t="s">
        <v>28</v>
      </c>
      <c r="F61" s="8" t="s">
        <v>390</v>
      </c>
      <c r="G61" s="8"/>
    </row>
    <row r="62" spans="1:7" x14ac:dyDescent="0.25">
      <c r="A62" s="5" t="s">
        <v>135</v>
      </c>
      <c r="B62" s="6" t="s">
        <v>158</v>
      </c>
      <c r="C62" s="7" t="s">
        <v>159</v>
      </c>
      <c r="D62" s="6" t="s">
        <v>138</v>
      </c>
      <c r="E62" s="6" t="s">
        <v>28</v>
      </c>
      <c r="F62" s="8" t="s">
        <v>390</v>
      </c>
      <c r="G62" s="8"/>
    </row>
    <row r="63" spans="1:7" x14ac:dyDescent="0.25">
      <c r="A63" s="5" t="s">
        <v>135</v>
      </c>
      <c r="B63" s="6" t="s">
        <v>160</v>
      </c>
      <c r="C63" s="7" t="s">
        <v>161</v>
      </c>
      <c r="D63" s="6" t="s">
        <v>138</v>
      </c>
      <c r="E63" s="6" t="s">
        <v>28</v>
      </c>
      <c r="F63" s="8" t="s">
        <v>390</v>
      </c>
      <c r="G63" s="8"/>
    </row>
    <row r="64" spans="1:7" x14ac:dyDescent="0.25">
      <c r="A64" s="5" t="s">
        <v>135</v>
      </c>
      <c r="B64" s="6" t="s">
        <v>162</v>
      </c>
      <c r="C64" s="7" t="s">
        <v>163</v>
      </c>
      <c r="D64" s="6" t="s">
        <v>138</v>
      </c>
      <c r="E64" s="6" t="s">
        <v>28</v>
      </c>
      <c r="F64" s="8" t="s">
        <v>390</v>
      </c>
      <c r="G64" s="8"/>
    </row>
    <row r="65" spans="1:7" x14ac:dyDescent="0.25">
      <c r="A65" s="5" t="s">
        <v>135</v>
      </c>
      <c r="B65" s="6" t="s">
        <v>164</v>
      </c>
      <c r="C65" s="7" t="s">
        <v>165</v>
      </c>
      <c r="D65" s="6" t="s">
        <v>138</v>
      </c>
      <c r="E65" s="6" t="s">
        <v>28</v>
      </c>
      <c r="F65" s="8" t="s">
        <v>390</v>
      </c>
      <c r="G65" s="8"/>
    </row>
    <row r="66" spans="1:7" x14ac:dyDescent="0.25">
      <c r="A66" s="5" t="s">
        <v>135</v>
      </c>
      <c r="B66" s="6" t="s">
        <v>166</v>
      </c>
      <c r="C66" s="7" t="s">
        <v>167</v>
      </c>
      <c r="D66" s="6" t="s">
        <v>138</v>
      </c>
      <c r="E66" s="6" t="s">
        <v>28</v>
      </c>
      <c r="F66" s="8" t="s">
        <v>390</v>
      </c>
      <c r="G66" s="8"/>
    </row>
    <row r="67" spans="1:7" x14ac:dyDescent="0.25">
      <c r="A67" s="5" t="s">
        <v>135</v>
      </c>
      <c r="B67" s="6" t="s">
        <v>168</v>
      </c>
      <c r="C67" s="7" t="s">
        <v>169</v>
      </c>
      <c r="D67" s="6" t="s">
        <v>138</v>
      </c>
      <c r="E67" s="6" t="s">
        <v>28</v>
      </c>
      <c r="F67" s="8" t="s">
        <v>390</v>
      </c>
      <c r="G67" s="8"/>
    </row>
    <row r="68" spans="1:7" x14ac:dyDescent="0.25">
      <c r="A68" s="5" t="s">
        <v>170</v>
      </c>
      <c r="B68" s="6" t="s">
        <v>171</v>
      </c>
      <c r="C68" s="7" t="s">
        <v>172</v>
      </c>
      <c r="D68" s="6" t="s">
        <v>173</v>
      </c>
      <c r="E68" s="6" t="s">
        <v>28</v>
      </c>
      <c r="F68" s="8" t="s">
        <v>198</v>
      </c>
      <c r="G68" s="8"/>
    </row>
    <row r="69" spans="1:7" x14ac:dyDescent="0.25">
      <c r="A69" s="5" t="s">
        <v>170</v>
      </c>
      <c r="B69" s="6" t="s">
        <v>174</v>
      </c>
      <c r="C69" s="7" t="s">
        <v>175</v>
      </c>
      <c r="D69" s="6" t="s">
        <v>173</v>
      </c>
      <c r="E69" s="6" t="s">
        <v>28</v>
      </c>
      <c r="F69" s="8" t="s">
        <v>278</v>
      </c>
      <c r="G69" s="8"/>
    </row>
    <row r="70" spans="1:7" x14ac:dyDescent="0.25">
      <c r="A70" s="5" t="s">
        <v>170</v>
      </c>
      <c r="B70" s="6" t="s">
        <v>176</v>
      </c>
      <c r="C70" s="7" t="s">
        <v>177</v>
      </c>
      <c r="D70" s="6" t="s">
        <v>178</v>
      </c>
      <c r="E70" s="6" t="s">
        <v>28</v>
      </c>
      <c r="F70" s="8" t="s">
        <v>390</v>
      </c>
      <c r="G70" s="8"/>
    </row>
    <row r="71" spans="1:7" x14ac:dyDescent="0.25">
      <c r="A71" s="5" t="s">
        <v>170</v>
      </c>
      <c r="B71" s="6" t="s">
        <v>179</v>
      </c>
      <c r="C71" s="7" t="s">
        <v>180</v>
      </c>
      <c r="D71" s="6" t="s">
        <v>178</v>
      </c>
      <c r="E71" s="6" t="s">
        <v>28</v>
      </c>
      <c r="F71" s="8" t="s">
        <v>390</v>
      </c>
      <c r="G71" s="8"/>
    </row>
    <row r="72" spans="1:7" x14ac:dyDescent="0.25">
      <c r="A72" s="5" t="s">
        <v>170</v>
      </c>
      <c r="B72" s="6" t="s">
        <v>181</v>
      </c>
      <c r="C72" s="7" t="s">
        <v>182</v>
      </c>
      <c r="D72" s="6" t="s">
        <v>178</v>
      </c>
      <c r="E72" s="6" t="s">
        <v>28</v>
      </c>
      <c r="F72" s="8" t="s">
        <v>390</v>
      </c>
      <c r="G72" s="8"/>
    </row>
    <row r="73" spans="1:7" x14ac:dyDescent="0.25">
      <c r="A73" s="5" t="s">
        <v>170</v>
      </c>
      <c r="B73" s="6" t="s">
        <v>183</v>
      </c>
      <c r="C73" s="7" t="s">
        <v>184</v>
      </c>
      <c r="D73" s="6" t="s">
        <v>178</v>
      </c>
      <c r="E73" s="6" t="s">
        <v>28</v>
      </c>
      <c r="F73" s="8" t="s">
        <v>390</v>
      </c>
      <c r="G73" s="8"/>
    </row>
    <row r="74" spans="1:7" x14ac:dyDescent="0.25">
      <c r="A74" s="5" t="s">
        <v>170</v>
      </c>
      <c r="B74" s="6" t="s">
        <v>185</v>
      </c>
      <c r="C74" s="7" t="s">
        <v>186</v>
      </c>
      <c r="D74" s="6" t="s">
        <v>178</v>
      </c>
      <c r="E74" s="6" t="s">
        <v>28</v>
      </c>
      <c r="F74" s="8" t="s">
        <v>390</v>
      </c>
      <c r="G74" s="8"/>
    </row>
    <row r="75" spans="1:7" x14ac:dyDescent="0.25">
      <c r="A75" s="5" t="s">
        <v>170</v>
      </c>
      <c r="B75" s="6" t="s">
        <v>187</v>
      </c>
      <c r="C75" s="7" t="s">
        <v>188</v>
      </c>
      <c r="D75" s="6" t="s">
        <v>178</v>
      </c>
      <c r="E75" s="6" t="s">
        <v>28</v>
      </c>
      <c r="F75" s="8" t="s">
        <v>390</v>
      </c>
      <c r="G75" s="8"/>
    </row>
    <row r="76" spans="1:7" x14ac:dyDescent="0.25">
      <c r="A76" s="5" t="s">
        <v>170</v>
      </c>
      <c r="B76" s="6" t="s">
        <v>189</v>
      </c>
      <c r="C76" s="7" t="s">
        <v>190</v>
      </c>
      <c r="D76" s="6" t="s">
        <v>178</v>
      </c>
      <c r="E76" s="6" t="s">
        <v>28</v>
      </c>
      <c r="F76" s="8" t="s">
        <v>390</v>
      </c>
      <c r="G76" s="8"/>
    </row>
    <row r="77" spans="1:7" x14ac:dyDescent="0.25">
      <c r="A77" s="5" t="s">
        <v>170</v>
      </c>
      <c r="B77" s="6" t="s">
        <v>191</v>
      </c>
      <c r="C77" s="7" t="s">
        <v>192</v>
      </c>
      <c r="D77" s="6" t="s">
        <v>178</v>
      </c>
      <c r="E77" s="6" t="s">
        <v>28</v>
      </c>
      <c r="F77" s="8" t="s">
        <v>390</v>
      </c>
      <c r="G77" s="8"/>
    </row>
    <row r="78" spans="1:7" x14ac:dyDescent="0.25">
      <c r="A78" s="5" t="s">
        <v>193</v>
      </c>
      <c r="B78" s="6" t="s">
        <v>194</v>
      </c>
      <c r="C78" s="7" t="s">
        <v>195</v>
      </c>
      <c r="D78" s="6" t="s">
        <v>173</v>
      </c>
      <c r="E78" s="6" t="s">
        <v>28</v>
      </c>
      <c r="F78" s="8" t="s">
        <v>278</v>
      </c>
      <c r="G78" s="8" t="s">
        <v>396</v>
      </c>
    </row>
    <row r="79" spans="1:7" x14ac:dyDescent="0.25">
      <c r="A79" s="5" t="s">
        <v>193</v>
      </c>
      <c r="B79" s="6" t="s">
        <v>24</v>
      </c>
      <c r="C79" s="7" t="s">
        <v>196</v>
      </c>
      <c r="D79" s="6" t="s">
        <v>197</v>
      </c>
      <c r="E79" s="6" t="s">
        <v>28</v>
      </c>
      <c r="F79" s="8" t="s">
        <v>390</v>
      </c>
      <c r="G79" s="8"/>
    </row>
    <row r="80" spans="1:7" x14ac:dyDescent="0.25">
      <c r="A80" s="5" t="s">
        <v>193</v>
      </c>
      <c r="B80" s="6" t="s">
        <v>199</v>
      </c>
      <c r="C80" s="7" t="s">
        <v>200</v>
      </c>
      <c r="D80" s="6" t="s">
        <v>197</v>
      </c>
      <c r="E80" s="6" t="s">
        <v>28</v>
      </c>
      <c r="F80" s="8" t="s">
        <v>390</v>
      </c>
      <c r="G80" s="8"/>
    </row>
    <row r="81" spans="1:7" x14ac:dyDescent="0.25">
      <c r="A81" s="5" t="s">
        <v>193</v>
      </c>
      <c r="B81" s="6" t="s">
        <v>201</v>
      </c>
      <c r="C81" s="7" t="s">
        <v>202</v>
      </c>
      <c r="D81" s="6" t="s">
        <v>197</v>
      </c>
      <c r="E81" s="6" t="s">
        <v>28</v>
      </c>
      <c r="F81" s="8" t="s">
        <v>390</v>
      </c>
      <c r="G81" s="8"/>
    </row>
    <row r="82" spans="1:7" x14ac:dyDescent="0.25">
      <c r="A82" s="5" t="s">
        <v>203</v>
      </c>
      <c r="B82" s="6" t="s">
        <v>204</v>
      </c>
      <c r="C82" s="7" t="s">
        <v>205</v>
      </c>
      <c r="D82" s="6" t="s">
        <v>206</v>
      </c>
      <c r="E82" s="6" t="s">
        <v>28</v>
      </c>
      <c r="F82" s="8" t="s">
        <v>390</v>
      </c>
      <c r="G82" s="8"/>
    </row>
    <row r="83" spans="1:7" x14ac:dyDescent="0.25">
      <c r="A83" s="5" t="s">
        <v>203</v>
      </c>
      <c r="B83" s="6" t="s">
        <v>207</v>
      </c>
      <c r="C83" s="7" t="s">
        <v>208</v>
      </c>
      <c r="D83" s="6" t="s">
        <v>206</v>
      </c>
      <c r="E83" s="6" t="s">
        <v>28</v>
      </c>
      <c r="F83" s="8" t="s">
        <v>390</v>
      </c>
      <c r="G83" s="8"/>
    </row>
    <row r="84" spans="1:7" x14ac:dyDescent="0.25">
      <c r="A84" s="5" t="s">
        <v>203</v>
      </c>
      <c r="B84" s="6" t="s">
        <v>209</v>
      </c>
      <c r="C84" s="7" t="s">
        <v>210</v>
      </c>
      <c r="D84" s="6" t="s">
        <v>206</v>
      </c>
      <c r="E84" s="6" t="s">
        <v>28</v>
      </c>
      <c r="F84" s="8" t="s">
        <v>390</v>
      </c>
      <c r="G84" s="8"/>
    </row>
    <row r="85" spans="1:7" x14ac:dyDescent="0.25">
      <c r="A85" s="5" t="s">
        <v>203</v>
      </c>
      <c r="B85" s="6" t="s">
        <v>211</v>
      </c>
      <c r="C85" s="7" t="s">
        <v>212</v>
      </c>
      <c r="D85" s="6" t="s">
        <v>206</v>
      </c>
      <c r="E85" s="6" t="s">
        <v>28</v>
      </c>
      <c r="F85" s="8" t="s">
        <v>390</v>
      </c>
      <c r="G85" s="8"/>
    </row>
    <row r="86" spans="1:7" x14ac:dyDescent="0.25">
      <c r="A86" s="5" t="s">
        <v>203</v>
      </c>
      <c r="B86" s="6" t="s">
        <v>213</v>
      </c>
      <c r="C86" s="7" t="s">
        <v>214</v>
      </c>
      <c r="D86" s="6" t="s">
        <v>206</v>
      </c>
      <c r="E86" s="6" t="s">
        <v>28</v>
      </c>
      <c r="F86" s="8" t="s">
        <v>390</v>
      </c>
      <c r="G86" s="8"/>
    </row>
    <row r="87" spans="1:7" x14ac:dyDescent="0.25">
      <c r="A87" s="5" t="s">
        <v>203</v>
      </c>
      <c r="B87" s="6" t="s">
        <v>215</v>
      </c>
      <c r="C87" s="7" t="s">
        <v>216</v>
      </c>
      <c r="D87" s="6" t="s">
        <v>217</v>
      </c>
      <c r="E87" s="6" t="s">
        <v>28</v>
      </c>
      <c r="F87" s="8" t="s">
        <v>390</v>
      </c>
      <c r="G87" s="8"/>
    </row>
    <row r="88" spans="1:7" x14ac:dyDescent="0.25">
      <c r="A88" s="5" t="s">
        <v>203</v>
      </c>
      <c r="B88" s="6" t="s">
        <v>218</v>
      </c>
      <c r="C88" s="7" t="s">
        <v>219</v>
      </c>
      <c r="D88" s="6" t="s">
        <v>217</v>
      </c>
      <c r="E88" s="6" t="s">
        <v>28</v>
      </c>
      <c r="F88" s="8" t="s">
        <v>390</v>
      </c>
      <c r="G88" s="8"/>
    </row>
    <row r="89" spans="1:7" x14ac:dyDescent="0.25">
      <c r="A89" s="5" t="s">
        <v>203</v>
      </c>
      <c r="B89" s="6" t="s">
        <v>220</v>
      </c>
      <c r="C89" s="7" t="s">
        <v>221</v>
      </c>
      <c r="D89" s="6" t="s">
        <v>217</v>
      </c>
      <c r="E89" s="6" t="s">
        <v>28</v>
      </c>
      <c r="F89" s="8" t="s">
        <v>390</v>
      </c>
      <c r="G89" s="8"/>
    </row>
    <row r="90" spans="1:7" x14ac:dyDescent="0.25">
      <c r="A90" s="5" t="s">
        <v>203</v>
      </c>
      <c r="B90" s="6" t="s">
        <v>222</v>
      </c>
      <c r="C90" s="7" t="s">
        <v>219</v>
      </c>
      <c r="D90" s="6" t="s">
        <v>217</v>
      </c>
      <c r="E90" s="6" t="s">
        <v>28</v>
      </c>
      <c r="F90" s="8" t="s">
        <v>390</v>
      </c>
      <c r="G90" s="8"/>
    </row>
    <row r="91" spans="1:7" x14ac:dyDescent="0.25">
      <c r="A91" s="5" t="s">
        <v>203</v>
      </c>
      <c r="B91" s="6" t="s">
        <v>223</v>
      </c>
      <c r="C91" s="7" t="s">
        <v>224</v>
      </c>
      <c r="D91" s="6" t="s">
        <v>225</v>
      </c>
      <c r="E91" s="6" t="s">
        <v>28</v>
      </c>
      <c r="F91" s="8" t="s">
        <v>390</v>
      </c>
      <c r="G91" s="8"/>
    </row>
    <row r="92" spans="1:7" x14ac:dyDescent="0.25">
      <c r="A92" s="5" t="s">
        <v>203</v>
      </c>
      <c r="B92" s="6" t="s">
        <v>226</v>
      </c>
      <c r="C92" s="7" t="s">
        <v>227</v>
      </c>
      <c r="D92" s="6" t="s">
        <v>225</v>
      </c>
      <c r="E92" s="6" t="s">
        <v>28</v>
      </c>
      <c r="F92" s="8" t="s">
        <v>390</v>
      </c>
      <c r="G92" s="8"/>
    </row>
    <row r="93" spans="1:7" x14ac:dyDescent="0.25">
      <c r="A93" s="5" t="s">
        <v>203</v>
      </c>
      <c r="B93" s="6" t="s">
        <v>228</v>
      </c>
      <c r="C93" s="7" t="s">
        <v>229</v>
      </c>
      <c r="D93" s="6" t="s">
        <v>225</v>
      </c>
      <c r="E93" s="6" t="s">
        <v>28</v>
      </c>
      <c r="F93" s="8" t="s">
        <v>390</v>
      </c>
      <c r="G93" s="8"/>
    </row>
    <row r="94" spans="1:7" x14ac:dyDescent="0.25">
      <c r="A94" s="5" t="s">
        <v>203</v>
      </c>
      <c r="B94" s="6" t="s">
        <v>230</v>
      </c>
      <c r="C94" s="7" t="s">
        <v>231</v>
      </c>
      <c r="D94" s="6" t="s">
        <v>225</v>
      </c>
      <c r="E94" s="6" t="s">
        <v>28</v>
      </c>
      <c r="F94" s="8" t="s">
        <v>390</v>
      </c>
      <c r="G94" s="8"/>
    </row>
    <row r="95" spans="1:7" x14ac:dyDescent="0.25">
      <c r="A95" s="5" t="s">
        <v>203</v>
      </c>
      <c r="B95" s="6" t="s">
        <v>232</v>
      </c>
      <c r="C95" s="7" t="s">
        <v>233</v>
      </c>
      <c r="D95" s="6" t="s">
        <v>225</v>
      </c>
      <c r="E95" s="6" t="s">
        <v>28</v>
      </c>
      <c r="F95" s="8" t="s">
        <v>390</v>
      </c>
      <c r="G95" s="8"/>
    </row>
    <row r="96" spans="1:7" x14ac:dyDescent="0.25">
      <c r="A96" s="5" t="s">
        <v>203</v>
      </c>
      <c r="B96" s="6" t="s">
        <v>234</v>
      </c>
      <c r="C96" s="7" t="s">
        <v>235</v>
      </c>
      <c r="D96" s="6" t="s">
        <v>225</v>
      </c>
      <c r="E96" s="6" t="s">
        <v>28</v>
      </c>
      <c r="F96" s="8" t="s">
        <v>390</v>
      </c>
      <c r="G96" s="8"/>
    </row>
    <row r="97" spans="1:7" x14ac:dyDescent="0.25">
      <c r="A97" s="5" t="s">
        <v>203</v>
      </c>
      <c r="B97" s="6" t="s">
        <v>236</v>
      </c>
      <c r="C97" s="7" t="s">
        <v>237</v>
      </c>
      <c r="D97" s="6" t="s">
        <v>225</v>
      </c>
      <c r="E97" s="6" t="s">
        <v>28</v>
      </c>
      <c r="F97" s="8" t="s">
        <v>390</v>
      </c>
      <c r="G97" s="8"/>
    </row>
    <row r="98" spans="1:7" x14ac:dyDescent="0.25">
      <c r="A98" s="5" t="s">
        <v>203</v>
      </c>
      <c r="B98" s="6" t="s">
        <v>238</v>
      </c>
      <c r="C98" s="7" t="s">
        <v>239</v>
      </c>
      <c r="D98" s="6" t="s">
        <v>240</v>
      </c>
      <c r="E98" s="6" t="s">
        <v>28</v>
      </c>
      <c r="F98" s="8" t="s">
        <v>390</v>
      </c>
      <c r="G98" s="8"/>
    </row>
    <row r="99" spans="1:7" x14ac:dyDescent="0.25">
      <c r="A99" s="5" t="s">
        <v>203</v>
      </c>
      <c r="B99" s="6" t="s">
        <v>241</v>
      </c>
      <c r="C99" s="7" t="s">
        <v>242</v>
      </c>
      <c r="D99" s="6" t="s">
        <v>240</v>
      </c>
      <c r="E99" s="6" t="s">
        <v>28</v>
      </c>
      <c r="F99" s="8" t="s">
        <v>390</v>
      </c>
      <c r="G99" s="8"/>
    </row>
    <row r="100" spans="1:7" x14ac:dyDescent="0.25">
      <c r="A100" s="5" t="s">
        <v>203</v>
      </c>
      <c r="B100" s="6" t="s">
        <v>243</v>
      </c>
      <c r="C100" s="7" t="s">
        <v>244</v>
      </c>
      <c r="D100" s="6" t="s">
        <v>240</v>
      </c>
      <c r="E100" s="6" t="s">
        <v>28</v>
      </c>
      <c r="F100" s="8" t="s">
        <v>390</v>
      </c>
      <c r="G100" s="8"/>
    </row>
    <row r="101" spans="1:7" x14ac:dyDescent="0.25">
      <c r="A101" s="5" t="s">
        <v>203</v>
      </c>
      <c r="B101" s="6" t="s">
        <v>245</v>
      </c>
      <c r="C101" s="7" t="s">
        <v>246</v>
      </c>
      <c r="D101" s="6" t="s">
        <v>247</v>
      </c>
      <c r="E101" s="6" t="s">
        <v>28</v>
      </c>
      <c r="F101" s="8" t="s">
        <v>390</v>
      </c>
      <c r="G101" s="8"/>
    </row>
    <row r="102" spans="1:7" x14ac:dyDescent="0.25">
      <c r="A102" s="5" t="s">
        <v>203</v>
      </c>
      <c r="B102" s="6" t="s">
        <v>248</v>
      </c>
      <c r="C102" s="7" t="s">
        <v>249</v>
      </c>
      <c r="D102" s="6" t="s">
        <v>247</v>
      </c>
      <c r="E102" s="6" t="s">
        <v>28</v>
      </c>
      <c r="F102" s="8" t="s">
        <v>390</v>
      </c>
      <c r="G102" s="8"/>
    </row>
    <row r="103" spans="1:7" x14ac:dyDescent="0.25">
      <c r="A103" s="5" t="s">
        <v>203</v>
      </c>
      <c r="B103" s="6" t="s">
        <v>250</v>
      </c>
      <c r="C103" s="7" t="s">
        <v>251</v>
      </c>
      <c r="D103" s="6" t="s">
        <v>247</v>
      </c>
      <c r="E103" s="6" t="s">
        <v>28</v>
      </c>
      <c r="F103" s="8" t="s">
        <v>390</v>
      </c>
      <c r="G103" s="8"/>
    </row>
    <row r="104" spans="1:7" x14ac:dyDescent="0.25">
      <c r="A104" s="5" t="s">
        <v>203</v>
      </c>
      <c r="B104" s="6" t="s">
        <v>252</v>
      </c>
      <c r="C104" s="7" t="s">
        <v>253</v>
      </c>
      <c r="D104" s="6" t="s">
        <v>247</v>
      </c>
      <c r="E104" s="6" t="s">
        <v>28</v>
      </c>
      <c r="F104" s="8" t="s">
        <v>390</v>
      </c>
      <c r="G104" s="8"/>
    </row>
    <row r="105" spans="1:7" x14ac:dyDescent="0.25">
      <c r="A105" s="5" t="s">
        <v>203</v>
      </c>
      <c r="B105" s="6" t="s">
        <v>254</v>
      </c>
      <c r="C105" s="7" t="s">
        <v>255</v>
      </c>
      <c r="D105" s="6" t="s">
        <v>247</v>
      </c>
      <c r="E105" s="6" t="s">
        <v>28</v>
      </c>
      <c r="F105" s="8" t="s">
        <v>390</v>
      </c>
      <c r="G105" s="8"/>
    </row>
    <row r="106" spans="1:7" x14ac:dyDescent="0.25">
      <c r="A106" s="5" t="s">
        <v>203</v>
      </c>
      <c r="B106" s="6" t="s">
        <v>256</v>
      </c>
      <c r="C106" s="7" t="s">
        <v>257</v>
      </c>
      <c r="D106" s="6" t="s">
        <v>247</v>
      </c>
      <c r="E106" s="6" t="s">
        <v>28</v>
      </c>
      <c r="F106" s="8" t="s">
        <v>390</v>
      </c>
      <c r="G106" s="8"/>
    </row>
    <row r="107" spans="1:7" x14ac:dyDescent="0.25">
      <c r="A107" s="5" t="s">
        <v>203</v>
      </c>
      <c r="B107" s="6" t="s">
        <v>258</v>
      </c>
      <c r="C107" s="7" t="s">
        <v>259</v>
      </c>
      <c r="D107" s="6" t="s">
        <v>260</v>
      </c>
      <c r="E107" s="6" t="s">
        <v>28</v>
      </c>
      <c r="F107" s="8" t="s">
        <v>390</v>
      </c>
      <c r="G107" s="8"/>
    </row>
    <row r="108" spans="1:7" x14ac:dyDescent="0.25">
      <c r="A108" s="5" t="s">
        <v>203</v>
      </c>
      <c r="B108" s="6" t="s">
        <v>261</v>
      </c>
      <c r="C108" s="7" t="s">
        <v>262</v>
      </c>
      <c r="D108" s="6" t="s">
        <v>263</v>
      </c>
      <c r="E108" s="6" t="s">
        <v>28</v>
      </c>
      <c r="F108" s="8" t="s">
        <v>390</v>
      </c>
      <c r="G108" s="8"/>
    </row>
    <row r="109" spans="1:7" x14ac:dyDescent="0.25">
      <c r="A109" s="5" t="s">
        <v>203</v>
      </c>
      <c r="B109" s="6" t="s">
        <v>264</v>
      </c>
      <c r="C109" s="7" t="s">
        <v>265</v>
      </c>
      <c r="D109" s="6" t="s">
        <v>263</v>
      </c>
      <c r="E109" s="6" t="s">
        <v>28</v>
      </c>
      <c r="F109" s="8" t="s">
        <v>390</v>
      </c>
      <c r="G109" s="8"/>
    </row>
    <row r="110" spans="1:7" x14ac:dyDescent="0.25">
      <c r="A110" s="5" t="s">
        <v>266</v>
      </c>
      <c r="B110" s="6" t="s">
        <v>267</v>
      </c>
      <c r="C110" s="7" t="s">
        <v>268</v>
      </c>
      <c r="D110" s="6" t="s">
        <v>269</v>
      </c>
      <c r="E110" s="6" t="s">
        <v>270</v>
      </c>
      <c r="F110" s="8" t="s">
        <v>397</v>
      </c>
      <c r="G110" s="8" t="s">
        <v>398</v>
      </c>
    </row>
    <row r="111" spans="1:7" x14ac:dyDescent="0.25">
      <c r="A111" s="5" t="s">
        <v>266</v>
      </c>
      <c r="B111" s="6" t="s">
        <v>271</v>
      </c>
      <c r="C111" s="7" t="s">
        <v>272</v>
      </c>
      <c r="D111" s="6" t="s">
        <v>269</v>
      </c>
      <c r="E111" s="6" t="s">
        <v>270</v>
      </c>
      <c r="F111" s="8" t="s">
        <v>397</v>
      </c>
      <c r="G111" s="8" t="s">
        <v>398</v>
      </c>
    </row>
    <row r="112" spans="1:7" x14ac:dyDescent="0.25">
      <c r="A112" s="5" t="s">
        <v>266</v>
      </c>
      <c r="B112" s="6" t="s">
        <v>273</v>
      </c>
      <c r="C112" s="7" t="s">
        <v>274</v>
      </c>
      <c r="D112" s="6" t="s">
        <v>269</v>
      </c>
      <c r="E112" s="6" t="s">
        <v>270</v>
      </c>
      <c r="F112" s="8" t="s">
        <v>397</v>
      </c>
      <c r="G112" s="8" t="s">
        <v>398</v>
      </c>
    </row>
    <row r="113" spans="1:7" x14ac:dyDescent="0.25">
      <c r="A113" s="5" t="s">
        <v>266</v>
      </c>
      <c r="B113" s="6" t="s">
        <v>275</v>
      </c>
      <c r="C113" s="7" t="s">
        <v>276</v>
      </c>
      <c r="D113" s="6" t="s">
        <v>277</v>
      </c>
      <c r="E113" s="6" t="s">
        <v>270</v>
      </c>
      <c r="F113" s="8" t="s">
        <v>397</v>
      </c>
      <c r="G113" s="8" t="s">
        <v>398</v>
      </c>
    </row>
    <row r="114" spans="1:7" x14ac:dyDescent="0.25">
      <c r="A114" s="5" t="s">
        <v>266</v>
      </c>
      <c r="B114" s="6" t="s">
        <v>279</v>
      </c>
      <c r="C114" s="7" t="s">
        <v>280</v>
      </c>
      <c r="D114" s="6" t="s">
        <v>277</v>
      </c>
      <c r="E114" s="6" t="s">
        <v>270</v>
      </c>
      <c r="F114" s="8" t="s">
        <v>397</v>
      </c>
      <c r="G114" s="8" t="s">
        <v>398</v>
      </c>
    </row>
    <row r="115" spans="1:7" x14ac:dyDescent="0.25">
      <c r="A115" s="5" t="s">
        <v>266</v>
      </c>
      <c r="B115" s="6" t="s">
        <v>281</v>
      </c>
      <c r="C115" s="7" t="s">
        <v>282</v>
      </c>
      <c r="D115" s="6" t="s">
        <v>277</v>
      </c>
      <c r="E115" s="6" t="s">
        <v>270</v>
      </c>
      <c r="F115" s="8" t="s">
        <v>397</v>
      </c>
      <c r="G115" s="8" t="s">
        <v>398</v>
      </c>
    </row>
    <row r="116" spans="1:7" x14ac:dyDescent="0.25">
      <c r="A116" s="5" t="s">
        <v>266</v>
      </c>
      <c r="B116" s="6" t="s">
        <v>283</v>
      </c>
      <c r="C116" s="7" t="s">
        <v>284</v>
      </c>
      <c r="D116" s="6" t="s">
        <v>277</v>
      </c>
      <c r="E116" s="6" t="s">
        <v>270</v>
      </c>
      <c r="F116" s="8" t="s">
        <v>397</v>
      </c>
      <c r="G116" s="8" t="s">
        <v>398</v>
      </c>
    </row>
    <row r="117" spans="1:7" x14ac:dyDescent="0.25">
      <c r="A117" s="5" t="s">
        <v>266</v>
      </c>
      <c r="B117" s="6" t="s">
        <v>285</v>
      </c>
      <c r="C117" s="7" t="s">
        <v>286</v>
      </c>
      <c r="D117" s="6" t="s">
        <v>287</v>
      </c>
      <c r="E117" s="6" t="s">
        <v>270</v>
      </c>
      <c r="F117" s="8" t="s">
        <v>397</v>
      </c>
      <c r="G117" s="8" t="s">
        <v>398</v>
      </c>
    </row>
    <row r="118" spans="1:7" x14ac:dyDescent="0.25">
      <c r="A118" s="5" t="s">
        <v>266</v>
      </c>
      <c r="B118" s="6" t="s">
        <v>288</v>
      </c>
      <c r="C118" s="7" t="s">
        <v>289</v>
      </c>
      <c r="D118" s="6" t="s">
        <v>287</v>
      </c>
      <c r="E118" s="6" t="s">
        <v>270</v>
      </c>
      <c r="F118" s="8" t="s">
        <v>397</v>
      </c>
      <c r="G118" s="8" t="s">
        <v>398</v>
      </c>
    </row>
    <row r="119" spans="1:7" x14ac:dyDescent="0.25">
      <c r="A119" s="5" t="s">
        <v>266</v>
      </c>
      <c r="B119" s="6" t="s">
        <v>290</v>
      </c>
      <c r="C119" s="7" t="s">
        <v>291</v>
      </c>
      <c r="D119" s="6" t="s">
        <v>287</v>
      </c>
      <c r="E119" s="6" t="s">
        <v>270</v>
      </c>
      <c r="F119" s="8" t="s">
        <v>397</v>
      </c>
      <c r="G119" s="8" t="s">
        <v>398</v>
      </c>
    </row>
    <row r="120" spans="1:7" x14ac:dyDescent="0.25">
      <c r="A120" s="5" t="s">
        <v>266</v>
      </c>
      <c r="B120" s="6" t="s">
        <v>292</v>
      </c>
      <c r="C120" s="7" t="s">
        <v>293</v>
      </c>
      <c r="D120" s="6" t="s">
        <v>287</v>
      </c>
      <c r="E120" s="6" t="s">
        <v>270</v>
      </c>
      <c r="F120" s="8" t="s">
        <v>397</v>
      </c>
      <c r="G120" s="8" t="s">
        <v>398</v>
      </c>
    </row>
    <row r="121" spans="1:7" x14ac:dyDescent="0.25">
      <c r="A121" s="5" t="s">
        <v>266</v>
      </c>
      <c r="B121" s="6" t="s">
        <v>294</v>
      </c>
      <c r="C121" s="7" t="s">
        <v>295</v>
      </c>
      <c r="D121" s="6" t="s">
        <v>296</v>
      </c>
      <c r="E121" s="6" t="s">
        <v>270</v>
      </c>
      <c r="F121" s="8" t="s">
        <v>397</v>
      </c>
      <c r="G121" s="8" t="s">
        <v>398</v>
      </c>
    </row>
    <row r="122" spans="1:7" x14ac:dyDescent="0.25">
      <c r="A122" s="5" t="s">
        <v>297</v>
      </c>
      <c r="B122" s="6" t="s">
        <v>298</v>
      </c>
      <c r="C122" s="7" t="s">
        <v>299</v>
      </c>
      <c r="D122" s="6" t="s">
        <v>277</v>
      </c>
      <c r="E122" s="6" t="s">
        <v>28</v>
      </c>
      <c r="F122" s="8" t="s">
        <v>390</v>
      </c>
      <c r="G122" s="8"/>
    </row>
    <row r="123" spans="1:7" x14ac:dyDescent="0.25">
      <c r="A123" s="5" t="s">
        <v>297</v>
      </c>
      <c r="B123" s="6" t="s">
        <v>300</v>
      </c>
      <c r="C123" s="7" t="s">
        <v>301</v>
      </c>
      <c r="D123" s="6" t="s">
        <v>277</v>
      </c>
      <c r="E123" s="6" t="s">
        <v>28</v>
      </c>
      <c r="F123" s="8" t="s">
        <v>390</v>
      </c>
      <c r="G123" s="8"/>
    </row>
    <row r="124" spans="1:7" x14ac:dyDescent="0.25">
      <c r="A124" s="5" t="s">
        <v>297</v>
      </c>
      <c r="B124" s="6" t="s">
        <v>302</v>
      </c>
      <c r="C124" s="7" t="s">
        <v>303</v>
      </c>
      <c r="D124" s="6" t="s">
        <v>269</v>
      </c>
      <c r="E124" s="6" t="s">
        <v>28</v>
      </c>
      <c r="F124" s="8" t="s">
        <v>390</v>
      </c>
      <c r="G124" s="8"/>
    </row>
    <row r="125" spans="1:7" x14ac:dyDescent="0.25">
      <c r="A125" s="5" t="s">
        <v>297</v>
      </c>
      <c r="B125" s="6" t="s">
        <v>304</v>
      </c>
      <c r="C125" s="7" t="s">
        <v>305</v>
      </c>
      <c r="D125" s="6" t="s">
        <v>269</v>
      </c>
      <c r="E125" s="6" t="s">
        <v>28</v>
      </c>
      <c r="F125" s="8" t="s">
        <v>390</v>
      </c>
      <c r="G125" s="8"/>
    </row>
    <row r="126" spans="1:7" x14ac:dyDescent="0.25">
      <c r="A126" s="5" t="s">
        <v>297</v>
      </c>
      <c r="B126" s="6" t="s">
        <v>306</v>
      </c>
      <c r="C126" s="7" t="s">
        <v>307</v>
      </c>
      <c r="D126" s="6" t="s">
        <v>269</v>
      </c>
      <c r="E126" s="6" t="s">
        <v>28</v>
      </c>
      <c r="F126" s="8" t="s">
        <v>390</v>
      </c>
      <c r="G126" s="8"/>
    </row>
    <row r="127" spans="1:7" x14ac:dyDescent="0.25">
      <c r="A127" s="5" t="s">
        <v>297</v>
      </c>
      <c r="B127" s="6" t="s">
        <v>199</v>
      </c>
      <c r="C127" s="7" t="s">
        <v>308</v>
      </c>
      <c r="D127" s="6" t="s">
        <v>277</v>
      </c>
      <c r="E127" s="6" t="s">
        <v>28</v>
      </c>
      <c r="F127" s="8" t="s">
        <v>390</v>
      </c>
      <c r="G127" s="8"/>
    </row>
    <row r="128" spans="1:7" x14ac:dyDescent="0.25">
      <c r="A128" s="5" t="s">
        <v>297</v>
      </c>
      <c r="B128" s="6" t="s">
        <v>309</v>
      </c>
      <c r="C128" s="7" t="s">
        <v>310</v>
      </c>
      <c r="D128" s="6" t="s">
        <v>311</v>
      </c>
      <c r="E128" s="6" t="s">
        <v>28</v>
      </c>
      <c r="F128" s="8" t="s">
        <v>390</v>
      </c>
      <c r="G128" s="8"/>
    </row>
    <row r="129" spans="1:7" x14ac:dyDescent="0.25">
      <c r="A129" s="5" t="s">
        <v>297</v>
      </c>
      <c r="B129" s="6" t="s">
        <v>312</v>
      </c>
      <c r="C129" s="7" t="s">
        <v>313</v>
      </c>
      <c r="D129" s="6" t="s">
        <v>277</v>
      </c>
      <c r="E129" s="6" t="s">
        <v>28</v>
      </c>
      <c r="F129" s="8" t="s">
        <v>390</v>
      </c>
      <c r="G129" s="8"/>
    </row>
    <row r="130" spans="1:7" x14ac:dyDescent="0.25">
      <c r="A130" s="5" t="s">
        <v>297</v>
      </c>
      <c r="B130" s="6" t="s">
        <v>314</v>
      </c>
      <c r="C130" s="7" t="s">
        <v>315</v>
      </c>
      <c r="D130" s="6" t="s">
        <v>277</v>
      </c>
      <c r="E130" s="6" t="s">
        <v>28</v>
      </c>
      <c r="F130" s="8" t="s">
        <v>390</v>
      </c>
      <c r="G130" s="8"/>
    </row>
    <row r="131" spans="1:7" x14ac:dyDescent="0.25">
      <c r="A131" s="5" t="s">
        <v>297</v>
      </c>
      <c r="B131" s="6" t="s">
        <v>316</v>
      </c>
      <c r="C131" s="7" t="s">
        <v>317</v>
      </c>
      <c r="D131" s="6" t="s">
        <v>277</v>
      </c>
      <c r="E131" s="6" t="s">
        <v>28</v>
      </c>
      <c r="F131" s="8" t="s">
        <v>390</v>
      </c>
      <c r="G131" s="8"/>
    </row>
    <row r="132" spans="1:7" x14ac:dyDescent="0.25">
      <c r="A132" s="5" t="s">
        <v>297</v>
      </c>
      <c r="B132" s="6" t="s">
        <v>318</v>
      </c>
      <c r="C132" s="7" t="s">
        <v>319</v>
      </c>
      <c r="D132" s="6" t="s">
        <v>311</v>
      </c>
      <c r="E132" s="6" t="s">
        <v>28</v>
      </c>
      <c r="F132" s="8" t="s">
        <v>198</v>
      </c>
      <c r="G132" s="8"/>
    </row>
    <row r="133" spans="1:7" x14ac:dyDescent="0.25">
      <c r="A133" s="5" t="s">
        <v>320</v>
      </c>
      <c r="B133" s="6" t="s">
        <v>321</v>
      </c>
      <c r="C133" s="7" t="s">
        <v>322</v>
      </c>
      <c r="D133" s="6" t="s">
        <v>323</v>
      </c>
      <c r="E133" s="6" t="s">
        <v>324</v>
      </c>
      <c r="F133" s="8" t="s">
        <v>198</v>
      </c>
      <c r="G133" s="8"/>
    </row>
    <row r="134" spans="1:7" x14ac:dyDescent="0.25">
      <c r="A134" s="5" t="s">
        <v>320</v>
      </c>
      <c r="B134" s="6" t="s">
        <v>325</v>
      </c>
      <c r="C134" s="7" t="s">
        <v>326</v>
      </c>
      <c r="D134" s="6" t="s">
        <v>323</v>
      </c>
      <c r="E134" s="6" t="s">
        <v>324</v>
      </c>
      <c r="F134" s="8" t="s">
        <v>198</v>
      </c>
      <c r="G134" s="8" t="s">
        <v>399</v>
      </c>
    </row>
    <row r="135" spans="1:7" x14ac:dyDescent="0.25">
      <c r="A135" s="5" t="s">
        <v>327</v>
      </c>
      <c r="B135" s="6" t="s">
        <v>328</v>
      </c>
      <c r="C135" s="7" t="s">
        <v>329</v>
      </c>
      <c r="D135" s="6" t="s">
        <v>330</v>
      </c>
      <c r="E135" s="6" t="s">
        <v>270</v>
      </c>
      <c r="F135" s="8" t="s">
        <v>198</v>
      </c>
      <c r="G135" s="8"/>
    </row>
    <row r="136" spans="1:7" x14ac:dyDescent="0.25">
      <c r="A136" s="5" t="s">
        <v>327</v>
      </c>
      <c r="B136" s="6" t="s">
        <v>331</v>
      </c>
      <c r="C136" s="7" t="s">
        <v>332</v>
      </c>
      <c r="D136" s="6" t="s">
        <v>330</v>
      </c>
      <c r="E136" s="6" t="s">
        <v>270</v>
      </c>
      <c r="F136" s="8" t="s">
        <v>198</v>
      </c>
      <c r="G136" s="8"/>
    </row>
    <row r="137" spans="1:7" x14ac:dyDescent="0.25">
      <c r="A137" s="5" t="s">
        <v>327</v>
      </c>
      <c r="B137" s="6" t="s">
        <v>333</v>
      </c>
      <c r="C137" s="7" t="s">
        <v>334</v>
      </c>
      <c r="D137" s="6" t="s">
        <v>335</v>
      </c>
      <c r="E137" s="6" t="s">
        <v>270</v>
      </c>
      <c r="F137" s="8" t="s">
        <v>198</v>
      </c>
      <c r="G137" s="8"/>
    </row>
    <row r="138" spans="1:7" x14ac:dyDescent="0.25">
      <c r="A138" s="5" t="s">
        <v>327</v>
      </c>
      <c r="B138" s="6" t="s">
        <v>336</v>
      </c>
      <c r="C138" s="7" t="s">
        <v>337</v>
      </c>
      <c r="D138" s="6" t="s">
        <v>338</v>
      </c>
      <c r="E138" s="6" t="s">
        <v>270</v>
      </c>
      <c r="F138" s="8" t="s">
        <v>198</v>
      </c>
      <c r="G138" s="8" t="s">
        <v>400</v>
      </c>
    </row>
    <row r="139" spans="1:7" x14ac:dyDescent="0.25">
      <c r="A139" s="5" t="s">
        <v>327</v>
      </c>
      <c r="B139" s="6" t="s">
        <v>339</v>
      </c>
      <c r="C139" s="7" t="s">
        <v>340</v>
      </c>
      <c r="D139" s="6" t="s">
        <v>341</v>
      </c>
      <c r="E139" s="6" t="s">
        <v>270</v>
      </c>
      <c r="F139" s="8" t="s">
        <v>198</v>
      </c>
      <c r="G139" s="8" t="s">
        <v>401</v>
      </c>
    </row>
    <row r="140" spans="1:7" x14ac:dyDescent="0.25">
      <c r="A140" s="5" t="s">
        <v>327</v>
      </c>
      <c r="B140" s="6" t="s">
        <v>342</v>
      </c>
      <c r="C140" s="7" t="s">
        <v>343</v>
      </c>
      <c r="D140" s="6" t="s">
        <v>173</v>
      </c>
      <c r="E140" s="6" t="s">
        <v>270</v>
      </c>
      <c r="F140" s="8" t="s">
        <v>198</v>
      </c>
      <c r="G140" s="8"/>
    </row>
    <row r="141" spans="1:7" x14ac:dyDescent="0.25">
      <c r="A141" s="5" t="s">
        <v>327</v>
      </c>
      <c r="B141" s="6" t="s">
        <v>344</v>
      </c>
      <c r="C141" s="7" t="s">
        <v>345</v>
      </c>
      <c r="D141" s="6" t="s">
        <v>346</v>
      </c>
      <c r="E141" s="6" t="s">
        <v>270</v>
      </c>
      <c r="F141" s="8" t="s">
        <v>278</v>
      </c>
      <c r="G141" s="8" t="s">
        <v>402</v>
      </c>
    </row>
    <row r="142" spans="1:7" x14ac:dyDescent="0.25">
      <c r="A142" s="5" t="s">
        <v>327</v>
      </c>
      <c r="B142" s="6" t="s">
        <v>347</v>
      </c>
      <c r="C142" s="7" t="s">
        <v>348</v>
      </c>
      <c r="D142" s="6" t="s">
        <v>346</v>
      </c>
      <c r="E142" s="6" t="s">
        <v>270</v>
      </c>
      <c r="F142" s="8" t="s">
        <v>278</v>
      </c>
      <c r="G142" s="8"/>
    </row>
    <row r="143" spans="1:7" x14ac:dyDescent="0.25">
      <c r="A143" s="5" t="s">
        <v>327</v>
      </c>
      <c r="B143" s="6" t="s">
        <v>349</v>
      </c>
      <c r="C143" s="7" t="s">
        <v>350</v>
      </c>
      <c r="D143" s="6" t="s">
        <v>346</v>
      </c>
      <c r="E143" s="6" t="s">
        <v>270</v>
      </c>
      <c r="F143" s="8" t="s">
        <v>278</v>
      </c>
      <c r="G143" s="8"/>
    </row>
    <row r="144" spans="1:7" x14ac:dyDescent="0.25">
      <c r="A144" s="5" t="s">
        <v>327</v>
      </c>
      <c r="B144" s="6" t="s">
        <v>351</v>
      </c>
      <c r="C144" s="7" t="s">
        <v>352</v>
      </c>
      <c r="D144" s="6" t="s">
        <v>353</v>
      </c>
      <c r="E144" s="6" t="s">
        <v>270</v>
      </c>
      <c r="F144" s="8" t="s">
        <v>198</v>
      </c>
      <c r="G144" s="8"/>
    </row>
    <row r="145" spans="1:7" x14ac:dyDescent="0.25">
      <c r="A145" s="5" t="s">
        <v>327</v>
      </c>
      <c r="B145" s="6" t="s">
        <v>354</v>
      </c>
      <c r="C145" s="7" t="s">
        <v>355</v>
      </c>
      <c r="D145" s="6" t="s">
        <v>356</v>
      </c>
      <c r="E145" s="6" t="s">
        <v>270</v>
      </c>
      <c r="F145" s="8"/>
      <c r="G145" s="8"/>
    </row>
    <row r="146" spans="1:7" x14ac:dyDescent="0.25">
      <c r="A146" s="5" t="s">
        <v>327</v>
      </c>
      <c r="B146" s="6" t="s">
        <v>357</v>
      </c>
      <c r="C146" s="7" t="s">
        <v>358</v>
      </c>
      <c r="D146" s="6" t="s">
        <v>335</v>
      </c>
      <c r="E146" s="6" t="s">
        <v>270</v>
      </c>
      <c r="F146" s="8" t="s">
        <v>278</v>
      </c>
      <c r="G146" s="8" t="s">
        <v>403</v>
      </c>
    </row>
    <row r="147" spans="1:7" x14ac:dyDescent="0.25">
      <c r="A147" s="5" t="s">
        <v>359</v>
      </c>
      <c r="B147" s="6" t="s">
        <v>360</v>
      </c>
      <c r="C147" s="7" t="s">
        <v>361</v>
      </c>
      <c r="D147" s="6" t="s">
        <v>362</v>
      </c>
      <c r="E147" s="6" t="s">
        <v>270</v>
      </c>
      <c r="F147" s="8" t="s">
        <v>198</v>
      </c>
      <c r="G147" s="8" t="s">
        <v>400</v>
      </c>
    </row>
    <row r="148" spans="1:7" x14ac:dyDescent="0.25">
      <c r="A148" s="5" t="s">
        <v>359</v>
      </c>
      <c r="B148" s="6" t="s">
        <v>363</v>
      </c>
      <c r="C148" s="7" t="s">
        <v>364</v>
      </c>
      <c r="D148" s="6" t="s">
        <v>362</v>
      </c>
      <c r="E148" s="6" t="s">
        <v>270</v>
      </c>
      <c r="F148" s="8" t="s">
        <v>198</v>
      </c>
      <c r="G148" s="8"/>
    </row>
    <row r="149" spans="1:7" x14ac:dyDescent="0.25">
      <c r="A149" s="5" t="s">
        <v>359</v>
      </c>
      <c r="B149" s="6" t="s">
        <v>365</v>
      </c>
      <c r="C149" s="7" t="s">
        <v>366</v>
      </c>
      <c r="D149" s="6" t="s">
        <v>362</v>
      </c>
      <c r="E149" s="6" t="s">
        <v>270</v>
      </c>
      <c r="F149" s="8" t="s">
        <v>278</v>
      </c>
      <c r="G149" s="8" t="s">
        <v>404</v>
      </c>
    </row>
    <row r="150" spans="1:7" x14ac:dyDescent="0.25">
      <c r="A150" s="5" t="s">
        <v>359</v>
      </c>
      <c r="B150" s="6" t="s">
        <v>367</v>
      </c>
      <c r="C150" s="7" t="s">
        <v>368</v>
      </c>
      <c r="D150" s="6" t="s">
        <v>362</v>
      </c>
      <c r="E150" s="6" t="s">
        <v>270</v>
      </c>
      <c r="F150" s="8" t="s">
        <v>198</v>
      </c>
      <c r="G150" s="8"/>
    </row>
    <row r="151" spans="1:7" x14ac:dyDescent="0.25">
      <c r="A151" s="5" t="s">
        <v>359</v>
      </c>
      <c r="B151" s="6" t="s">
        <v>369</v>
      </c>
      <c r="C151" s="7" t="s">
        <v>370</v>
      </c>
      <c r="D151" s="6" t="s">
        <v>173</v>
      </c>
      <c r="E151" s="6" t="s">
        <v>270</v>
      </c>
      <c r="F151" s="8" t="s">
        <v>198</v>
      </c>
      <c r="G151" s="8" t="s">
        <v>405</v>
      </c>
    </row>
    <row r="152" spans="1:7" x14ac:dyDescent="0.25">
      <c r="A152" s="5" t="s">
        <v>359</v>
      </c>
      <c r="B152" s="6" t="s">
        <v>371</v>
      </c>
      <c r="C152" s="7" t="s">
        <v>372</v>
      </c>
      <c r="D152" s="6" t="s">
        <v>173</v>
      </c>
      <c r="E152" s="6" t="s">
        <v>270</v>
      </c>
      <c r="F152" s="8" t="s">
        <v>198</v>
      </c>
      <c r="G152" s="8"/>
    </row>
    <row r="153" spans="1:7" x14ac:dyDescent="0.25">
      <c r="A153" s="5" t="s">
        <v>359</v>
      </c>
      <c r="B153" s="6" t="s">
        <v>373</v>
      </c>
      <c r="C153" s="7" t="s">
        <v>374</v>
      </c>
      <c r="D153" s="6" t="s">
        <v>173</v>
      </c>
      <c r="E153" s="6" t="s">
        <v>270</v>
      </c>
      <c r="F153" s="8" t="s">
        <v>198</v>
      </c>
      <c r="G153" s="8"/>
    </row>
    <row r="154" spans="1:7" x14ac:dyDescent="0.25">
      <c r="A154" s="5" t="s">
        <v>359</v>
      </c>
      <c r="B154" s="6" t="s">
        <v>375</v>
      </c>
      <c r="C154" s="7" t="s">
        <v>376</v>
      </c>
      <c r="D154" s="6" t="s">
        <v>173</v>
      </c>
      <c r="E154" s="6" t="s">
        <v>270</v>
      </c>
      <c r="F154" s="8" t="s">
        <v>198</v>
      </c>
      <c r="G154" s="8" t="s">
        <v>406</v>
      </c>
    </row>
    <row r="155" spans="1:7" x14ac:dyDescent="0.25">
      <c r="A155" s="5" t="s">
        <v>359</v>
      </c>
      <c r="B155" s="6" t="s">
        <v>377</v>
      </c>
      <c r="C155" s="7" t="s">
        <v>378</v>
      </c>
      <c r="D155" s="6" t="s">
        <v>173</v>
      </c>
      <c r="E155" s="6" t="s">
        <v>270</v>
      </c>
      <c r="F155" s="8" t="s">
        <v>278</v>
      </c>
      <c r="G155" s="8" t="s">
        <v>407</v>
      </c>
    </row>
    <row r="156" spans="1:7" x14ac:dyDescent="0.25">
      <c r="A156" s="5" t="s">
        <v>359</v>
      </c>
      <c r="B156" s="6" t="s">
        <v>379</v>
      </c>
      <c r="C156" s="7" t="s">
        <v>380</v>
      </c>
      <c r="D156" s="6" t="s">
        <v>173</v>
      </c>
      <c r="E156" s="6" t="s">
        <v>270</v>
      </c>
      <c r="F156" s="8" t="s">
        <v>278</v>
      </c>
      <c r="G156" s="8" t="s">
        <v>408</v>
      </c>
    </row>
    <row r="157" spans="1:7" x14ac:dyDescent="0.25">
      <c r="A157" s="5" t="s">
        <v>359</v>
      </c>
      <c r="B157" s="6" t="s">
        <v>381</v>
      </c>
      <c r="C157" s="7" t="s">
        <v>382</v>
      </c>
      <c r="D157" s="6" t="s">
        <v>173</v>
      </c>
      <c r="E157" s="6" t="s">
        <v>270</v>
      </c>
      <c r="F157" s="8" t="s">
        <v>198</v>
      </c>
      <c r="G157" s="8"/>
    </row>
    <row r="158" spans="1:7" x14ac:dyDescent="0.25">
      <c r="A158" s="5" t="s">
        <v>359</v>
      </c>
      <c r="B158" s="6" t="s">
        <v>383</v>
      </c>
      <c r="C158" s="7" t="s">
        <v>384</v>
      </c>
      <c r="D158" s="6" t="s">
        <v>385</v>
      </c>
      <c r="E158" s="6" t="s">
        <v>270</v>
      </c>
      <c r="F158" s="8" t="s">
        <v>390</v>
      </c>
      <c r="G158" s="8"/>
    </row>
    <row r="159" spans="1:7" x14ac:dyDescent="0.25">
      <c r="A159" s="5" t="s">
        <v>359</v>
      </c>
      <c r="B159" s="6" t="s">
        <v>386</v>
      </c>
      <c r="C159" s="7" t="s">
        <v>387</v>
      </c>
      <c r="D159" s="6" t="s">
        <v>173</v>
      </c>
      <c r="E159" s="6" t="s">
        <v>270</v>
      </c>
      <c r="F159" s="8" t="s">
        <v>278</v>
      </c>
      <c r="G159" s="8"/>
    </row>
  </sheetData>
  <autoFilter ref="A1:G159" xr:uid="{00000000-0009-0000-0000-000001000000}"/>
  <dataValidations count="1">
    <dataValidation type="list" allowBlank="1" promptTitle="Où vit ce réglage ?" prompt="Voiture = accessible au volant. Atelier = sur PC seulement." sqref="F2:F159" xr:uid="{00000000-0002-0000-0100-000000000000}">
      <formula1>"Voiture,Atelier,À voir"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/>
  </sheetViews>
  <sheetFormatPr defaultRowHeight="15" x14ac:dyDescent="0.25"/>
  <cols>
    <col min="1" max="1" width="32" customWidth="1"/>
    <col min="2" max="5" width="11" customWidth="1"/>
    <col min="6" max="6" width="17" customWidth="1"/>
  </cols>
  <sheetData>
    <row r="1" spans="1:6" ht="18" x14ac:dyDescent="0.25">
      <c r="A1" s="9" t="s">
        <v>388</v>
      </c>
    </row>
    <row r="3" spans="1:6" x14ac:dyDescent="0.25">
      <c r="A3" s="10" t="s">
        <v>17</v>
      </c>
      <c r="B3" s="10" t="s">
        <v>389</v>
      </c>
      <c r="C3" s="10" t="s">
        <v>198</v>
      </c>
      <c r="D3" s="10" t="s">
        <v>390</v>
      </c>
      <c r="E3" s="10" t="s">
        <v>278</v>
      </c>
      <c r="F3" s="10" t="s">
        <v>391</v>
      </c>
    </row>
    <row r="4" spans="1:6" x14ac:dyDescent="0.25">
      <c r="A4" s="11" t="s">
        <v>24</v>
      </c>
      <c r="B4" s="11">
        <f>COUNTIF(Réglages!$A$2:$A$159,$A4)</f>
        <v>11</v>
      </c>
      <c r="C4" s="11">
        <f>COUNTIFS(Réglages!$A$2:$A$159,$A4,Réglages!$F$2:$F$159,"Voiture")</f>
        <v>0</v>
      </c>
      <c r="D4" s="11">
        <f>COUNTIFS(Réglages!$A$2:$A$159,$A4,Réglages!$F$2:$F$159,"Atelier")</f>
        <v>11</v>
      </c>
      <c r="E4" s="11">
        <f>COUNTIFS(Réglages!$A$2:$A$159,$A4,Réglages!$F$2:$F$159,"À voir")</f>
        <v>0</v>
      </c>
      <c r="F4" s="11">
        <f t="shared" ref="F4:F16" si="0">$B4-$C4-$D4-$E4</f>
        <v>0</v>
      </c>
    </row>
    <row r="5" spans="1:6" x14ac:dyDescent="0.25">
      <c r="A5" s="11" t="s">
        <v>49</v>
      </c>
      <c r="B5" s="11">
        <f>COUNTIF(Réglages!$A$2:$A$159,$A5)</f>
        <v>17</v>
      </c>
      <c r="C5" s="11">
        <f>COUNTIFS(Réglages!$A$2:$A$159,$A5,Réglages!$F$2:$F$159,"Voiture")</f>
        <v>1</v>
      </c>
      <c r="D5" s="11">
        <f>COUNTIFS(Réglages!$A$2:$A$159,$A5,Réglages!$F$2:$F$159,"Atelier")</f>
        <v>16</v>
      </c>
      <c r="E5" s="11">
        <f>COUNTIFS(Réglages!$A$2:$A$159,$A5,Réglages!$F$2:$F$159,"À voir")</f>
        <v>0</v>
      </c>
      <c r="F5" s="11">
        <f t="shared" si="0"/>
        <v>0</v>
      </c>
    </row>
    <row r="6" spans="1:6" x14ac:dyDescent="0.25">
      <c r="A6" s="11" t="s">
        <v>86</v>
      </c>
      <c r="B6" s="11">
        <f>COUNTIF(Réglages!$A$2:$A$159,$A6)</f>
        <v>6</v>
      </c>
      <c r="C6" s="11">
        <f>COUNTIFS(Réglages!$A$2:$A$159,$A6,Réglages!$F$2:$F$159,"Voiture")</f>
        <v>0</v>
      </c>
      <c r="D6" s="11">
        <f>COUNTIFS(Réglages!$A$2:$A$159,$A6,Réglages!$F$2:$F$159,"Atelier")</f>
        <v>6</v>
      </c>
      <c r="E6" s="11">
        <f>COUNTIFS(Réglages!$A$2:$A$159,$A6,Réglages!$F$2:$F$159,"À voir")</f>
        <v>0</v>
      </c>
      <c r="F6" s="11">
        <f t="shared" si="0"/>
        <v>0</v>
      </c>
    </row>
    <row r="7" spans="1:6" x14ac:dyDescent="0.25">
      <c r="A7" s="11" t="s">
        <v>101</v>
      </c>
      <c r="B7" s="11">
        <f>COUNTIF(Réglages!$A$2:$A$159,$A7)</f>
        <v>16</v>
      </c>
      <c r="C7" s="11">
        <f>COUNTIFS(Réglages!$A$2:$A$159,$A7,Réglages!$F$2:$F$159,"Voiture")</f>
        <v>4</v>
      </c>
      <c r="D7" s="11">
        <f>COUNTIFS(Réglages!$A$2:$A$159,$A7,Réglages!$F$2:$F$159,"Atelier")</f>
        <v>12</v>
      </c>
      <c r="E7" s="11">
        <f>COUNTIFS(Réglages!$A$2:$A$159,$A7,Réglages!$F$2:$F$159,"À voir")</f>
        <v>0</v>
      </c>
      <c r="F7" s="11">
        <f t="shared" si="0"/>
        <v>0</v>
      </c>
    </row>
    <row r="8" spans="1:6" x14ac:dyDescent="0.25">
      <c r="A8" s="11" t="s">
        <v>135</v>
      </c>
      <c r="B8" s="11">
        <f>COUNTIF(Réglages!$A$2:$A$159,$A8)</f>
        <v>16</v>
      </c>
      <c r="C8" s="11">
        <f>COUNTIFS(Réglages!$A$2:$A$159,$A8,Réglages!$F$2:$F$159,"Voiture")</f>
        <v>0</v>
      </c>
      <c r="D8" s="11">
        <f>COUNTIFS(Réglages!$A$2:$A$159,$A8,Réglages!$F$2:$F$159,"Atelier")</f>
        <v>16</v>
      </c>
      <c r="E8" s="11">
        <f>COUNTIFS(Réglages!$A$2:$A$159,$A8,Réglages!$F$2:$F$159,"À voir")</f>
        <v>0</v>
      </c>
      <c r="F8" s="11">
        <f t="shared" si="0"/>
        <v>0</v>
      </c>
    </row>
    <row r="9" spans="1:6" x14ac:dyDescent="0.25">
      <c r="A9" s="11" t="s">
        <v>170</v>
      </c>
      <c r="B9" s="11">
        <f>COUNTIF(Réglages!$A$2:$A$159,$A9)</f>
        <v>10</v>
      </c>
      <c r="C9" s="11">
        <f>COUNTIFS(Réglages!$A$2:$A$159,$A9,Réglages!$F$2:$F$159,"Voiture")</f>
        <v>1</v>
      </c>
      <c r="D9" s="11">
        <f>COUNTIFS(Réglages!$A$2:$A$159,$A9,Réglages!$F$2:$F$159,"Atelier")</f>
        <v>8</v>
      </c>
      <c r="E9" s="11">
        <f>COUNTIFS(Réglages!$A$2:$A$159,$A9,Réglages!$F$2:$F$159,"À voir")</f>
        <v>1</v>
      </c>
      <c r="F9" s="11">
        <f t="shared" si="0"/>
        <v>0</v>
      </c>
    </row>
    <row r="10" spans="1:6" x14ac:dyDescent="0.25">
      <c r="A10" s="11" t="s">
        <v>193</v>
      </c>
      <c r="B10" s="11">
        <f>COUNTIF(Réglages!$A$2:$A$159,$A10)</f>
        <v>4</v>
      </c>
      <c r="C10" s="11">
        <f>COUNTIFS(Réglages!$A$2:$A$159,$A10,Réglages!$F$2:$F$159,"Voiture")</f>
        <v>0</v>
      </c>
      <c r="D10" s="11">
        <f>COUNTIFS(Réglages!$A$2:$A$159,$A10,Réglages!$F$2:$F$159,"Atelier")</f>
        <v>3</v>
      </c>
      <c r="E10" s="11">
        <f>COUNTIFS(Réglages!$A$2:$A$159,$A10,Réglages!$F$2:$F$159,"À voir")</f>
        <v>1</v>
      </c>
      <c r="F10" s="11">
        <f t="shared" si="0"/>
        <v>0</v>
      </c>
    </row>
    <row r="11" spans="1:6" x14ac:dyDescent="0.25">
      <c r="A11" s="11" t="s">
        <v>203</v>
      </c>
      <c r="B11" s="11">
        <f>COUNTIF(Réglages!$A$2:$A$159,$A11)</f>
        <v>28</v>
      </c>
      <c r="C11" s="11">
        <f>COUNTIFS(Réglages!$A$2:$A$159,$A11,Réglages!$F$2:$F$159,"Voiture")</f>
        <v>0</v>
      </c>
      <c r="D11" s="11">
        <f>COUNTIFS(Réglages!$A$2:$A$159,$A11,Réglages!$F$2:$F$159,"Atelier")</f>
        <v>28</v>
      </c>
      <c r="E11" s="11">
        <f>COUNTIFS(Réglages!$A$2:$A$159,$A11,Réglages!$F$2:$F$159,"À voir")</f>
        <v>0</v>
      </c>
      <c r="F11" s="11">
        <f t="shared" si="0"/>
        <v>0</v>
      </c>
    </row>
    <row r="12" spans="1:6" x14ac:dyDescent="0.25">
      <c r="A12" s="11" t="s">
        <v>266</v>
      </c>
      <c r="B12" s="11">
        <f>COUNTIF(Réglages!$A$2:$A$159,$A12)</f>
        <v>12</v>
      </c>
      <c r="C12" s="11">
        <f>COUNTIFS(Réglages!$A$2:$A$159,$A12,Réglages!$F$2:$F$159,"Voiture")</f>
        <v>0</v>
      </c>
      <c r="D12" s="11">
        <f>COUNTIFS(Réglages!$A$2:$A$159,$A12,Réglages!$F$2:$F$159,"Atelier")</f>
        <v>0</v>
      </c>
      <c r="E12" s="11">
        <f>COUNTIFS(Réglages!$A$2:$A$159,$A12,Réglages!$F$2:$F$159,"À voir")</f>
        <v>0</v>
      </c>
      <c r="F12" s="11">
        <f t="shared" si="0"/>
        <v>12</v>
      </c>
    </row>
    <row r="13" spans="1:6" x14ac:dyDescent="0.25">
      <c r="A13" s="11" t="s">
        <v>297</v>
      </c>
      <c r="B13" s="11">
        <f>COUNTIF(Réglages!$A$2:$A$159,$A13)</f>
        <v>11</v>
      </c>
      <c r="C13" s="11">
        <f>COUNTIFS(Réglages!$A$2:$A$159,$A13,Réglages!$F$2:$F$159,"Voiture")</f>
        <v>1</v>
      </c>
      <c r="D13" s="11">
        <f>COUNTIFS(Réglages!$A$2:$A$159,$A13,Réglages!$F$2:$F$159,"Atelier")</f>
        <v>10</v>
      </c>
      <c r="E13" s="11">
        <f>COUNTIFS(Réglages!$A$2:$A$159,$A13,Réglages!$F$2:$F$159,"À voir")</f>
        <v>0</v>
      </c>
      <c r="F13" s="11">
        <f t="shared" si="0"/>
        <v>0</v>
      </c>
    </row>
    <row r="14" spans="1:6" x14ac:dyDescent="0.25">
      <c r="A14" s="11" t="s">
        <v>320</v>
      </c>
      <c r="B14" s="11">
        <f>COUNTIF(Réglages!$A$2:$A$159,$A14)</f>
        <v>2</v>
      </c>
      <c r="C14" s="11">
        <f>COUNTIFS(Réglages!$A$2:$A$159,$A14,Réglages!$F$2:$F$159,"Voiture")</f>
        <v>2</v>
      </c>
      <c r="D14" s="11">
        <f>COUNTIFS(Réglages!$A$2:$A$159,$A14,Réglages!$F$2:$F$159,"Atelier")</f>
        <v>0</v>
      </c>
      <c r="E14" s="11">
        <f>COUNTIFS(Réglages!$A$2:$A$159,$A14,Réglages!$F$2:$F$159,"À voir")</f>
        <v>0</v>
      </c>
      <c r="F14" s="11">
        <f t="shared" si="0"/>
        <v>0</v>
      </c>
    </row>
    <row r="15" spans="1:6" x14ac:dyDescent="0.25">
      <c r="A15" s="11" t="s">
        <v>327</v>
      </c>
      <c r="B15" s="11">
        <f>COUNTIF(Réglages!$A$2:$A$159,$A15)</f>
        <v>12</v>
      </c>
      <c r="C15" s="11">
        <f>COUNTIFS(Réglages!$A$2:$A$159,$A15,Réglages!$F$2:$F$159,"Voiture")</f>
        <v>7</v>
      </c>
      <c r="D15" s="11">
        <f>COUNTIFS(Réglages!$A$2:$A$159,$A15,Réglages!$F$2:$F$159,"Atelier")</f>
        <v>0</v>
      </c>
      <c r="E15" s="11">
        <f>COUNTIFS(Réglages!$A$2:$A$159,$A15,Réglages!$F$2:$F$159,"À voir")</f>
        <v>4</v>
      </c>
      <c r="F15" s="11">
        <f t="shared" si="0"/>
        <v>1</v>
      </c>
    </row>
    <row r="16" spans="1:6" x14ac:dyDescent="0.25">
      <c r="A16" s="11" t="s">
        <v>359</v>
      </c>
      <c r="B16" s="11">
        <f>COUNTIF(Réglages!$A$2:$A$159,$A16)</f>
        <v>13</v>
      </c>
      <c r="C16" s="11">
        <f>COUNTIFS(Réglages!$A$2:$A$159,$A16,Réglages!$F$2:$F$159,"Voiture")</f>
        <v>8</v>
      </c>
      <c r="D16" s="11">
        <f>COUNTIFS(Réglages!$A$2:$A$159,$A16,Réglages!$F$2:$F$159,"Atelier")</f>
        <v>1</v>
      </c>
      <c r="E16" s="11">
        <f>COUNTIFS(Réglages!$A$2:$A$159,$A16,Réglages!$F$2:$F$159,"À voir")</f>
        <v>4</v>
      </c>
      <c r="F16" s="11">
        <f t="shared" si="0"/>
        <v>0</v>
      </c>
    </row>
    <row r="17" spans="1:6" x14ac:dyDescent="0.25">
      <c r="A17" s="12" t="s">
        <v>392</v>
      </c>
      <c r="B17" s="12">
        <f>SUM(B4:B16)</f>
        <v>158</v>
      </c>
      <c r="C17" s="12">
        <f>SUM(C4:C16)</f>
        <v>24</v>
      </c>
      <c r="D17" s="12">
        <f>SUM(D4:D16)</f>
        <v>111</v>
      </c>
      <c r="E17" s="12">
        <f>SUM(E4:E16)</f>
        <v>10</v>
      </c>
      <c r="F17" s="12">
        <f>SUM(F4:F16)</f>
        <v>13</v>
      </c>
    </row>
    <row r="19" spans="1:6" x14ac:dyDescent="0.25">
      <c r="A19" s="13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 d'emploi</vt:lpstr>
      <vt:lpstr>Réglages</vt:lpstr>
      <vt:lpstr>Compte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Pierron (LU)</cp:lastModifiedBy>
  <dcterms:created xsi:type="dcterms:W3CDTF">2026-09-10T09:33:25Z</dcterms:created>
  <dcterms:modified xsi:type="dcterms:W3CDTF">2026-09-10T10:03:57Z</dcterms:modified>
</cp:coreProperties>
</file>